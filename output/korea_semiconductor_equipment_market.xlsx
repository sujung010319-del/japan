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관별_시장전망" sheetId="1" state="visible" r:id="rId1"/>
    <sheet name="SEMI_국가별전망" sheetId="2" state="visible" r:id="rId2"/>
    <sheet name="SEMI_실적" sheetId="3" state="visible" r:id="rId3"/>
    <sheet name="글로벌_참고" sheetId="4" state="visible" r:id="rId4"/>
    <sheet name="출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%;(0.0%);-"/>
    <numFmt numFmtId="166" formatCode="#,##0.0;(#,##0.0);-"/>
    <numFmt numFmtId="167" formatCode="0%;(0%);-"/>
  </numFmts>
  <fonts count="1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9"/>
    </font>
    <font>
      <name val="Arial"/>
      <b val="1"/>
      <color rgb="00C00000"/>
      <sz val="10"/>
    </font>
    <font>
      <name val="Arial"/>
      <b val="1"/>
      <color rgb="001F3864"/>
      <sz val="11"/>
    </font>
    <font>
      <name val="Arial"/>
      <color rgb="00C55A11"/>
      <sz val="10"/>
    </font>
    <font>
      <name val="Arial"/>
      <b val="1"/>
      <color rgb="001F3864"/>
      <sz val="9"/>
    </font>
    <font>
      <name val="Arial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165" fontId="6" fillId="0" borderId="1" pivotButton="0" quotePrefix="0" xfId="0"/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4" fillId="3" borderId="0" pivotButton="0" quotePrefix="0" xfId="0"/>
    <xf numFmtId="164" fontId="5" fillId="3" borderId="1" pivotButton="0" quotePrefix="0" xfId="0"/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6" fillId="0" borderId="1" pivotButton="0" quotePrefix="0" xfId="0"/>
    <xf numFmtId="165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165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4" fillId="4" borderId="0" pivotButton="0" quotePrefix="0" xfId="0"/>
    <xf numFmtId="0" fontId="10" fillId="0" borderId="0" pivotButton="0" quotePrefix="0" xfId="0"/>
    <xf numFmtId="0" fontId="11" fillId="3" borderId="0" pivotButton="0" quotePrefix="0" xfId="0"/>
    <xf numFmtId="166" fontId="5" fillId="0" borderId="1" pivotButton="0" quotePrefix="0" xfId="0"/>
    <xf numFmtId="167" fontId="0" fillId="0" borderId="1" pivotButton="0" quotePrefix="0" xfId="0"/>
    <xf numFmtId="0" fontId="4" fillId="5" borderId="1" pivotButton="0" quotePrefix="0" xfId="0"/>
    <xf numFmtId="166" fontId="5" fillId="5" borderId="1" pivotButton="0" quotePrefix="0" xfId="0"/>
    <xf numFmtId="167" fontId="0" fillId="5" borderId="1" pivotButton="0" quotePrefix="0" xfId="0"/>
    <xf numFmtId="0" fontId="7" fillId="5" borderId="1" pivotButton="0" quotePrefix="0" xfId="0"/>
    <xf numFmtId="166" fontId="4" fillId="0" borderId="1" pivotButton="0" quotePrefix="0" xfId="0"/>
    <xf numFmtId="166" fontId="12" fillId="4" borderId="1" pivotButton="0" quotePrefix="0" xfId="0"/>
    <xf numFmtId="166" fontId="0" fillId="0" borderId="1" pivotButton="0" quotePrefix="0" xfId="0"/>
    <xf numFmtId="166" fontId="0" fillId="5" borderId="1" pivotButton="0" quotePrefix="0" xfId="0"/>
    <xf numFmtId="0" fontId="0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13" fillId="3" borderId="1" pivotButton="0" quotePrefix="0" xfId="0"/>
    <xf numFmtId="0" fontId="0" fillId="3" borderId="1" pivotButton="0" quotePrefix="0" xfId="0"/>
    <xf numFmtId="0" fontId="8" fillId="5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randviewresearch.com/horizon/outlook/semiconductor-manufacturing-equipment-market/south-korea" TargetMode="External" Id="rId1" /><Relationship Type="http://schemas.openxmlformats.org/officeDocument/2006/relationships/hyperlink" Target="https://www.sphericalinsights.com/reports/south-korea-semiconductor-manufacturing-equipment-market" TargetMode="External" Id="rId2" /><Relationship Type="http://schemas.openxmlformats.org/officeDocument/2006/relationships/hyperlink" Target="https://www.marketresearchfuture.com/reports/south-korea-semiconductor-production-equipment-market-49157" TargetMode="External" Id="rId3" /><Relationship Type="http://schemas.openxmlformats.org/officeDocument/2006/relationships/hyperlink" Target="https://www.imarcgroup.com/south-korea-semiconductor-manufacturing-equipment-market" TargetMode="External" Id="rId4" /><Relationship Type="http://schemas.openxmlformats.org/officeDocument/2006/relationships/hyperlink" Target="https://straitsresearch.com/report/semiconductor-manufacturing-equipment-market/south-korea" TargetMode="External" Id="rId5" /><Relationship Type="http://schemas.openxmlformats.org/officeDocument/2006/relationships/hyperlink" Target="https://www.futuremarketinsights.com/reports/semiconductor-manufacturing-equipment-marke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mi.org/en/SEMI-Reports-Global-Semiconductor-Equipment-Billings-Reached-135-Billion-in-2025" TargetMode="External" Id="rId1" /><Relationship Type="http://schemas.openxmlformats.org/officeDocument/2006/relationships/hyperlink" Target="https://www.semi.org/en/semi-press-release/global-semiconductor-equipment-sales-projected-to-reach-a-record-of-156-billion-dollars-in-2027-semi-reports" TargetMode="External" Id="rId2" /><Relationship Type="http://schemas.openxmlformats.org/officeDocument/2006/relationships/hyperlink" Target="https://www.semi.org/en/SEMI-Reports-Global-Semiconductor-Equipment-Billings-Reached-135-Billion-in-2025" TargetMode="External" Id="rId3" /><Relationship Type="http://schemas.openxmlformats.org/officeDocument/2006/relationships/hyperlink" Target="https://www.semi.org/en/semi-press-release/global-semiconductor-equipment-sales-forecast-to-reach-a-record-229-billion-dollars-in-2028-semi-reports" TargetMode="External" Id="rId4" /><Relationship Type="http://schemas.openxmlformats.org/officeDocument/2006/relationships/hyperlink" Target="https://www.semi.org/en/semi-press-release/semi-projects-double-digit-growth-in-global-300mm-fab-equipment-spending-for-2026-and-2027" TargetMode="External" Id="rId5" /><Relationship Type="http://schemas.openxmlformats.org/officeDocument/2006/relationships/hyperlink" Target="https://www.semi.org/en/products-services/market-data/300mm-fab-outlook" TargetMode="External" Id="rId6" /><Relationship Type="http://schemas.openxmlformats.org/officeDocument/2006/relationships/hyperlink" Target="https://www.semi.org/en/semi-press-release/semi-reports-global-300mm-fab-equipment-spending-expected-to-total-374-billion-dollars-over-next-three-years" TargetMode="External" Id="rId7" /><Relationship Type="http://schemas.openxmlformats.org/officeDocument/2006/relationships/hyperlink" Target="https://www.semi.org/en/news-media-press-releases/semi-press-releases/300mm-fab-equipment-spending-forecast-to-reach-record-$137-billion-in-2027-semi-reports" TargetMode="External" Id="rId8" /><Relationship Type="http://schemas.openxmlformats.org/officeDocument/2006/relationships/hyperlink" Target="https://www.semi.org/en/news-media-press-releases/semi-press-releases/300mm-fab-equipment-spending-forecast-to-reach-record-$137-billion-in-2027-semi-reports" TargetMode="External" Id="rId9" /><Relationship Type="http://schemas.openxmlformats.org/officeDocument/2006/relationships/hyperlink" Target="https://www.semi.org/en/news-media-press-releases/semi-press-releases/300mm-fab-equipment-spending-forecast-to-reach-record-$137-billion-in-2027-semi-reports" TargetMode="External" Id="rId10" /><Relationship Type="http://schemas.openxmlformats.org/officeDocument/2006/relationships/hyperlink" Target="https://www.semi.org/en/news-media-press-releases/semi-press-releases/300mm-fab-equipment-spending-forecast-to-reach-record-$137-billion-in-2027-semi-reports" TargetMode="External" Id="rId11" /><Relationship Type="http://schemas.openxmlformats.org/officeDocument/2006/relationships/hyperlink" Target="https://www.semi.org/en/news-media-press-releases/semi-press-releases/300mm-fab-equipment-spending-forecast-to-reach-record-$137-billion-in-2027-semi-reports" TargetMode="External" Id="rId12" /><Relationship Type="http://schemas.openxmlformats.org/officeDocument/2006/relationships/hyperlink" Target="https://www.semi.org/en/news-media-press-releases/semi-press-releases/300mm-fab-equipment-spending-forecast-to-reach-record-$137-billion-in-2027-semi-reports" TargetMode="External" Id="rId13" /><Relationship Type="http://schemas.openxmlformats.org/officeDocument/2006/relationships/hyperlink" Target="https://www.semi.org/en/news-media-press-releases/semi-press-releases/300mm-fab-equipment-spending-forecast-to-reach-record-$137-billion-in-2027-semi-reports" TargetMode="External" Id="rId14" /><Relationship Type="http://schemas.openxmlformats.org/officeDocument/2006/relationships/hyperlink" Target="https://www.semi.org/en/news-media-press-releases/semi-press-releases/300mm-fab-equipment-spending-forecast-to-reach-record-$137-billion-in-2027-semi-reports" TargetMode="External" Id="rId15" /><Relationship Type="http://schemas.openxmlformats.org/officeDocument/2006/relationships/hyperlink" Target="https://www.scmp.com/tech/tech-trends/article/3280146/china-south-korea-taiwan-spend-most-chip-equipment-2025-2027-industry-body-says" TargetMode="External" Id="rId16" /><Relationship Type="http://schemas.openxmlformats.org/officeDocument/2006/relationships/hyperlink" Target="https://www.semi.org/en/news-media-press-releases/semi-press-releases/global-300mm-fab-equipment-spending-forecast-to-reach-record-$119-billion-in-2026-semi-reports" TargetMode="External" Id="rId17" /><Relationship Type="http://schemas.openxmlformats.org/officeDocument/2006/relationships/hyperlink" Target="https://www.semi.org/en/news-media-press-releases/semi-press-releases/global-300mm-fab-equipment-spending-forecast-to-reach-record-$119-billion-in-2026-semi-reports" TargetMode="External" Id="rId18" /><Relationship Type="http://schemas.openxmlformats.org/officeDocument/2006/relationships/hyperlink" Target="https://www.semi.org/en/news-media-press-releases/semi-press-releases/global-300mm-fab-equipment-spending-forecast-to-reach-record-$119-billion-in-2026-semi-reports" TargetMode="External" Id="rId19" /><Relationship Type="http://schemas.openxmlformats.org/officeDocument/2006/relationships/hyperlink" Target="https://www.semi.org/en/news-media-press-releases/semi-press-releases/global-300mm-fab-equipment-spending-forecast-to-reach-record-$119-billion-in-2026-semi-reports" TargetMode="External" Id="rId20" /><Relationship Type="http://schemas.openxmlformats.org/officeDocument/2006/relationships/hyperlink" Target="https://www.semi.org/en/news-media-press-releases/semi-press-releases/global-300mm-fab-equipment-spending-forecast-to-reach-record-$119-billion-in-2026-semi-reports" TargetMode="External" Id="rId2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mi.org/en/semi-press-release/global-semiconductor-equipment-sales-projected-to-reach-a-record-of-156-billion-dollars-in-2027-semi-reports" TargetMode="External" Id="rId1" /><Relationship Type="http://schemas.openxmlformats.org/officeDocument/2006/relationships/hyperlink" Target="https://www.semi.org/en/SEMI-Reports-Global-Semiconductor-Equipment-Billings-Reached-135-Billion-in-2025" TargetMode="External" Id="rId2" /><Relationship Type="http://schemas.openxmlformats.org/officeDocument/2006/relationships/hyperlink" Target="https://www.semi.org/en/semi-press-release/global-semiconductor-equipment-sales-forecast-to-reach-a-record-229-billion-dollars-in-2028-semi-reports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rdorintelligence.com/industry-reports/semiconductor-equipment-market" TargetMode="External" Id="rId1" /><Relationship Type="http://schemas.openxmlformats.org/officeDocument/2006/relationships/hyperlink" Target="https://www.futuremarketinsights.com/reports/semiconductor-manufacturing-equipment-market" TargetMode="External" Id="rId2" /><Relationship Type="http://schemas.openxmlformats.org/officeDocument/2006/relationships/hyperlink" Target="https://www.semi.org/ko/node/156646" TargetMode="External" Id="rId3" /><Relationship Type="http://schemas.openxmlformats.org/officeDocument/2006/relationships/hyperlink" Target="https://www.spaceinews.com/news/915378" TargetMode="External" Id="rId4" /><Relationship Type="http://schemas.openxmlformats.org/officeDocument/2006/relationships/hyperlink" Target="https://www.kenresearch.com/south-korea-semiconductor-equipment-services-market" TargetMode="External" Id="rId5" /><Relationship Type="http://schemas.openxmlformats.org/officeDocument/2006/relationships/hyperlink" Target="https://www.bonafideresearch.com/product/6401099916/south-korea-semiconductor-market" TargetMode="External" Id="rId6" /><Relationship Type="http://schemas.openxmlformats.org/officeDocument/2006/relationships/hyperlink" Target="https://www.sphericalinsights.com/reports/south-korea-lithography-equipment-market" TargetMode="External" Id="rId7" /><Relationship Type="http://schemas.openxmlformats.org/officeDocument/2006/relationships/hyperlink" Target="https://straitsresearch.com/report/semiconductor-manufacturing-equipment-market/asia-pacific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randviewresearch.com/horizon/outlook/semiconductor-manufacturing-equipment-market/south-korea" TargetMode="External" Id="rId1" /><Relationship Type="http://schemas.openxmlformats.org/officeDocument/2006/relationships/hyperlink" Target="https://www.sphericalinsights.com/reports/south-korea-semiconductor-manufacturing-equipment-market" TargetMode="External" Id="rId2" /><Relationship Type="http://schemas.openxmlformats.org/officeDocument/2006/relationships/hyperlink" Target="https://www.marketresearchfuture.com/reports/south-korea-semiconductor-production-equipment-market-49157" TargetMode="External" Id="rId3" /><Relationship Type="http://schemas.openxmlformats.org/officeDocument/2006/relationships/hyperlink" Target="https://www.imarcgroup.com/south-korea-semiconductor-manufacturing-equipment-market" TargetMode="External" Id="rId4" /><Relationship Type="http://schemas.openxmlformats.org/officeDocument/2006/relationships/hyperlink" Target="https://straitsresearch.com/report/semiconductor-manufacturing-equipment-market/south-korea" TargetMode="External" Id="rId5" /><Relationship Type="http://schemas.openxmlformats.org/officeDocument/2006/relationships/hyperlink" Target="https://www.futuremarketinsights.com/reports/semiconductor-manufacturing-equipment-market" TargetMode="External" Id="rId6" /><Relationship Type="http://schemas.openxmlformats.org/officeDocument/2006/relationships/hyperlink" Target="https://www.semi.org/en/SEMI-Reports-Global-Semiconductor-Equipment-Billings-Reached-135-Billion-in-2025" TargetMode="External" Id="rId7" /><Relationship Type="http://schemas.openxmlformats.org/officeDocument/2006/relationships/hyperlink" Target="https://www.semi.org/en/semi-press-release/global-semiconductor-equipment-billings-surged-to-117-billion-dollars-in-2024-semi-reports" TargetMode="External" Id="rId8" /><Relationship Type="http://schemas.openxmlformats.org/officeDocument/2006/relationships/hyperlink" Target="https://www.semi.org/en/semi-press-release/global-semiconductor-equipment-sales-projected-to-reach-a-record-of-156-billion-dollars-in-2027-semi-reports" TargetMode="External" Id="rId9" /><Relationship Type="http://schemas.openxmlformats.org/officeDocument/2006/relationships/hyperlink" Target="https://www.semi.org/en/semi-press-release/global-semiconductor-equipment-sales-forecast-to-reach-a-record-229-billion-dollars-in-2028-semi-reports" TargetMode="External" Id="rId10" /><Relationship Type="http://schemas.openxmlformats.org/officeDocument/2006/relationships/hyperlink" Target="https://www.digitimes.com/news/a20251229PD209/south-korea-chips-equipment-investment-dram-2026.html" TargetMode="External" Id="rId11" /><Relationship Type="http://schemas.openxmlformats.org/officeDocument/2006/relationships/hyperlink" Target="https://www.mordorintelligence.com/industry-reports/semiconductor-equipment-market" TargetMode="External" Id="rId12" /><Relationship Type="http://schemas.openxmlformats.org/officeDocument/2006/relationships/hyperlink" Target="https://www.semi.org/ko/node/156646" TargetMode="External" Id="rId13" /><Relationship Type="http://schemas.openxmlformats.org/officeDocument/2006/relationships/hyperlink" Target="https://www.spaceinews.com/news/915378" TargetMode="External" Id="rId14" /><Relationship Type="http://schemas.openxmlformats.org/officeDocument/2006/relationships/hyperlink" Target="https://www.kenresearch.com/south-korea-semiconductor-equipment-services-market" TargetMode="External" Id="rId15" /><Relationship Type="http://schemas.openxmlformats.org/officeDocument/2006/relationships/hyperlink" Target="https://www.sphericalinsights.com/reports/south-korea-lithography-equipment-market" TargetMode="External" Id="rId16" /><Relationship Type="http://schemas.openxmlformats.org/officeDocument/2006/relationships/hyperlink" Target="https://www.bonafideresearch.com/product/6401099916/south-korea-semiconductor-market" TargetMode="External" Id="rId17" /><Relationship Type="http://schemas.openxmlformats.org/officeDocument/2006/relationships/hyperlink" Target="https://www.transpireinsight.com/report/south-korea-amhs-for-semiconductor-market" TargetMode="External" Id="rId18" /><Relationship Type="http://schemas.openxmlformats.org/officeDocument/2006/relationships/hyperlink" Target="https://www.epnc.co.kr/news/articleView.html?idxno=400190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20" customWidth="1" min="17" max="17"/>
    <col width="58" customWidth="1" min="18" max="18"/>
    <col width="62" customWidth="1" min="19" max="19"/>
  </cols>
  <sheetData>
    <row r="1">
      <c r="A1" s="1" t="inlineStr">
        <is>
          <t>한국 반도체 장비(반도체 제조장비) 시장 규모 - 시장조사기관별 취합</t>
        </is>
      </c>
    </row>
    <row r="2">
      <c r="A2" s="2" t="inlineStr">
        <is>
          <t>단위 : 백만달러(USD mn)  |  파란색 = 기관 원문 발표 수치, 검은색 = 원문 앵커값 사이를 내재 CAGR로 보간한 값</t>
        </is>
      </c>
    </row>
    <row r="3">
      <c r="A3" s="2" t="inlineStr">
        <is>
          <t>※ 기관마다 '반도체 장비'의 정의(전공정만/전·후공정 포함/서비스 포함)와 산출 기준이 달라 절대 규모 편차가 큼. 실제 장비 매출 실적은 'SEMI_실적' 시트 참조.</t>
        </is>
      </c>
    </row>
    <row r="5">
      <c r="A5" s="3" t="inlineStr">
        <is>
          <t>시장조사기관</t>
        </is>
      </c>
      <c r="B5" s="3" t="inlineStr">
        <is>
          <t>2024</t>
        </is>
      </c>
      <c r="C5" s="3" t="inlineStr">
        <is>
          <t>2025</t>
        </is>
      </c>
      <c r="D5" s="3" t="inlineStr">
        <is>
          <t>2026E</t>
        </is>
      </c>
      <c r="E5" s="3" t="inlineStr">
        <is>
          <t>2027E</t>
        </is>
      </c>
      <c r="F5" s="3" t="inlineStr">
        <is>
          <t>2028E</t>
        </is>
      </c>
      <c r="G5" s="3" t="inlineStr">
        <is>
          <t>2029E</t>
        </is>
      </c>
      <c r="H5" s="3" t="inlineStr">
        <is>
          <t>2030E</t>
        </is>
      </c>
      <c r="I5" s="3" t="inlineStr">
        <is>
          <t>2031E</t>
        </is>
      </c>
      <c r="J5" s="3" t="inlineStr">
        <is>
          <t>2032E</t>
        </is>
      </c>
      <c r="K5" s="3" t="inlineStr">
        <is>
          <t>2033E</t>
        </is>
      </c>
      <c r="L5" s="3" t="inlineStr">
        <is>
          <t>2034E</t>
        </is>
      </c>
      <c r="M5" s="3" t="inlineStr">
        <is>
          <t>2035E</t>
        </is>
      </c>
      <c r="N5" s="3" t="inlineStr">
        <is>
          <t>발표 CAGR</t>
        </is>
      </c>
      <c r="O5" s="3" t="inlineStr">
        <is>
          <t>내재 CAGR</t>
        </is>
      </c>
      <c r="P5" s="3" t="inlineStr">
        <is>
          <t>전망기간</t>
        </is>
      </c>
      <c r="Q5" s="3" t="inlineStr">
        <is>
          <t>발표시점</t>
        </is>
      </c>
      <c r="R5" s="3" t="inlineStr">
        <is>
          <t>비고</t>
        </is>
      </c>
      <c r="S5" s="3" t="inlineStr">
        <is>
          <t>출처(URL)</t>
        </is>
      </c>
    </row>
    <row r="6">
      <c r="A6" s="4" t="inlineStr">
        <is>
          <t>Grand View Research</t>
        </is>
      </c>
      <c r="B6" s="5" t="n"/>
      <c r="C6" s="6" t="n">
        <v>14796.6</v>
      </c>
      <c r="D6" s="7">
        <f>C6*(1+$O6)</f>
        <v/>
      </c>
      <c r="E6" s="7">
        <f>D6*(1+$O6)</f>
        <v/>
      </c>
      <c r="F6" s="7">
        <f>E6*(1+$O6)</f>
        <v/>
      </c>
      <c r="G6" s="7">
        <f>F6*(1+$O6)</f>
        <v/>
      </c>
      <c r="H6" s="7">
        <f>G6*(1+$O6)</f>
        <v/>
      </c>
      <c r="I6" s="7">
        <f>H6*(1+$O6)</f>
        <v/>
      </c>
      <c r="J6" s="7">
        <f>I6*(1+$O6)</f>
        <v/>
      </c>
      <c r="K6" s="6" t="n">
        <v>28700.6</v>
      </c>
      <c r="L6" s="5" t="n"/>
      <c r="M6" s="5" t="n"/>
      <c r="N6" s="8" t="inlineStr">
        <is>
          <t>8.7%</t>
        </is>
      </c>
      <c r="O6" s="9">
        <f>(K6/C6)^(1/8)-1</f>
        <v/>
      </c>
      <c r="P6" s="8" t="inlineStr">
        <is>
          <t>2026-2033</t>
        </is>
      </c>
      <c r="Q6" s="8" t="inlineStr">
        <is>
          <t>26년 (2026~2033 전망)</t>
        </is>
      </c>
      <c r="R6" s="10" t="inlineStr">
        <is>
          <t>한국이 2025년 글로벌 시장의 12.4% 차지한다고 명시. 2025년/2033년만 원문 공개</t>
        </is>
      </c>
      <c r="S6" s="11" t="inlineStr">
        <is>
          <t>https://www.grandviewresearch.com/horizon/outlook/semiconductor-manufacturing-equipment-market/south-korea</t>
        </is>
      </c>
    </row>
    <row r="7">
      <c r="A7" s="4" t="inlineStr">
        <is>
          <t>Spherical Insights</t>
        </is>
      </c>
      <c r="B7" s="6" t="n">
        <v>12498.1</v>
      </c>
      <c r="C7" s="7">
        <f>B7*(1+$O7)</f>
        <v/>
      </c>
      <c r="D7" s="7">
        <f>C7*(1+$O7)</f>
        <v/>
      </c>
      <c r="E7" s="7">
        <f>D7*(1+$O7)</f>
        <v/>
      </c>
      <c r="F7" s="7">
        <f>E7*(1+$O7)</f>
        <v/>
      </c>
      <c r="G7" s="7">
        <f>F7*(1+$O7)</f>
        <v/>
      </c>
      <c r="H7" s="7">
        <f>G7*(1+$O7)</f>
        <v/>
      </c>
      <c r="I7" s="7">
        <f>H7*(1+$O7)</f>
        <v/>
      </c>
      <c r="J7" s="7">
        <f>I7*(1+$O7)</f>
        <v/>
      </c>
      <c r="K7" s="7">
        <f>J7*(1+$O7)</f>
        <v/>
      </c>
      <c r="L7" s="7">
        <f>K7*(1+$O7)</f>
        <v/>
      </c>
      <c r="M7" s="6" t="n">
        <v>29879.3</v>
      </c>
      <c r="N7" s="8" t="inlineStr">
        <is>
          <t>8.25%</t>
        </is>
      </c>
      <c r="O7" s="9">
        <f>(M7/B7)^(1/11)-1</f>
        <v/>
      </c>
      <c r="P7" s="8" t="inlineStr">
        <is>
          <t>2025-2035</t>
        </is>
      </c>
      <c r="Q7" s="8" t="inlineStr">
        <is>
          <t>25~26년</t>
        </is>
      </c>
      <c r="R7" s="10" t="inlineStr">
        <is>
          <t>발표 CAGR(8.25%)와 원문 앵커값 기반 내재 CAGR이 일치 (정합성 양호)</t>
        </is>
      </c>
      <c r="S7" s="11" t="inlineStr">
        <is>
          <t>https://www.sphericalinsights.com/reports/south-korea-semiconductor-manufacturing-equipment-market</t>
        </is>
      </c>
    </row>
    <row r="8">
      <c r="A8" s="4" t="inlineStr">
        <is>
          <t>Market Research Future (MRFR)</t>
        </is>
      </c>
      <c r="B8" s="6" t="n">
        <v>9630</v>
      </c>
      <c r="C8" s="6" t="n">
        <v>10530</v>
      </c>
      <c r="D8" s="7">
        <f>C8*(1+$O8)</f>
        <v/>
      </c>
      <c r="E8" s="7">
        <f>D8*(1+$O8)</f>
        <v/>
      </c>
      <c r="F8" s="7">
        <f>E8*(1+$O8)</f>
        <v/>
      </c>
      <c r="G8" s="7">
        <f>F8*(1+$O8)</f>
        <v/>
      </c>
      <c r="H8" s="7">
        <f>G8*(1+$O8)</f>
        <v/>
      </c>
      <c r="I8" s="7">
        <f>H8*(1+$O8)</f>
        <v/>
      </c>
      <c r="J8" s="7">
        <f>I8*(1+$O8)</f>
        <v/>
      </c>
      <c r="K8" s="7">
        <f>J8*(1+$O8)</f>
        <v/>
      </c>
      <c r="L8" s="7">
        <f>K8*(1+$O8)</f>
        <v/>
      </c>
      <c r="M8" s="6" t="n">
        <v>24000</v>
      </c>
      <c r="N8" s="8" t="inlineStr">
        <is>
          <t>7.779%</t>
        </is>
      </c>
      <c r="O8" s="9">
        <f>(M8/C8)^(1/10)-1</f>
        <v/>
      </c>
      <c r="P8" s="8" t="inlineStr">
        <is>
          <t>2025-2035</t>
        </is>
      </c>
      <c r="Q8" s="8" t="inlineStr">
        <is>
          <t>25~26년</t>
        </is>
      </c>
      <c r="R8" s="10" t="inlineStr">
        <is>
          <t>★단위 주의 : 원문 페이지는 총액·세그먼트 모두 'USD Million'으로 표기(2024년 9.63 Million). 그러나 SEMI 한국 장비 실적(2024년 205억달러) 및 타 기관 대비 1,000배 차이라 Billion 오기로 판단하고 백만달러(9,630)로 환산해 표기함 — 환산은 당사 판단이며 MRFR 원문 표기가 아님. 또한 발표 CAGR 7.779%와 자사 앵커값 내재 CAGR 8.59%가 불일치.</t>
        </is>
      </c>
      <c r="S8" s="11" t="inlineStr">
        <is>
          <t>https://www.marketresearchfuture.com/reports/south-korea-semiconductor-production-equipment-market-49157</t>
        </is>
      </c>
    </row>
    <row r="9">
      <c r="A9" s="4" t="inlineStr">
        <is>
          <t>IMARC Group</t>
        </is>
      </c>
      <c r="B9" s="5" t="n"/>
      <c r="C9" s="6" t="n">
        <v>2200</v>
      </c>
      <c r="D9" s="7">
        <f>C9*(1+$O9)</f>
        <v/>
      </c>
      <c r="E9" s="7">
        <f>D9*(1+$O9)</f>
        <v/>
      </c>
      <c r="F9" s="7">
        <f>E9*(1+$O9)</f>
        <v/>
      </c>
      <c r="G9" s="7">
        <f>F9*(1+$O9)</f>
        <v/>
      </c>
      <c r="H9" s="7">
        <f>G9*(1+$O9)</f>
        <v/>
      </c>
      <c r="I9" s="7">
        <f>H9*(1+$O9)</f>
        <v/>
      </c>
      <c r="J9" s="7">
        <f>I9*(1+$O9)</f>
        <v/>
      </c>
      <c r="K9" s="7">
        <f>J9*(1+$O9)</f>
        <v/>
      </c>
      <c r="L9" s="6" t="n">
        <v>5100</v>
      </c>
      <c r="M9" s="5" t="n"/>
      <c r="N9" s="8" t="inlineStr">
        <is>
          <t>9.31%</t>
        </is>
      </c>
      <c r="O9" s="9">
        <f>(L9/C9)^(1/9)-1</f>
        <v/>
      </c>
      <c r="P9" s="8" t="inlineStr">
        <is>
          <t>2026-2034</t>
        </is>
      </c>
      <c r="Q9" s="8" t="inlineStr">
        <is>
          <t>26년 (2026~2034 전망)</t>
        </is>
      </c>
      <c r="R9" s="10" t="inlineStr">
        <is>
          <t>규모가 타 기관 대비 현저히 작음 → 장비 전체가 아닌 일부 세그먼트 기준으로 추정. 추세(CAGR) 참고용</t>
        </is>
      </c>
      <c r="S9" s="11" t="inlineStr">
        <is>
          <t>https://www.imarcgroup.com/south-korea-semiconductor-manufacturing-equipment-market</t>
        </is>
      </c>
    </row>
    <row r="10">
      <c r="A10" s="4" t="inlineStr">
        <is>
          <t>Straits Research</t>
        </is>
      </c>
      <c r="B10" s="6" t="n">
        <v>2883.16</v>
      </c>
      <c r="C10" s="6" t="n">
        <v>2999.57</v>
      </c>
      <c r="D10" s="7">
        <f>C10*(1+$O10)</f>
        <v/>
      </c>
      <c r="E10" s="7">
        <f>D10*(1+$O10)</f>
        <v/>
      </c>
      <c r="F10" s="7">
        <f>E10*(1+$O10)</f>
        <v/>
      </c>
      <c r="G10" s="7">
        <f>F10*(1+$O10)</f>
        <v/>
      </c>
      <c r="H10" s="7">
        <f>G10*(1+$O10)</f>
        <v/>
      </c>
      <c r="I10" s="7">
        <f>H10*(1+$O10)</f>
        <v/>
      </c>
      <c r="J10" s="7">
        <f>I10*(1+$O10)</f>
        <v/>
      </c>
      <c r="K10" s="6" t="n">
        <v>4072.06</v>
      </c>
      <c r="L10" s="5" t="n"/>
      <c r="M10" s="5" t="n"/>
      <c r="N10" s="8" t="inlineStr">
        <is>
          <t>3.3%</t>
        </is>
      </c>
      <c r="O10" s="9">
        <f>(K10/C10)^(1/8)-1</f>
        <v/>
      </c>
      <c r="P10" s="8" t="inlineStr">
        <is>
          <t>2025-2033</t>
        </is>
      </c>
      <c r="Q10" s="8" t="inlineStr">
        <is>
          <t>25년</t>
        </is>
      </c>
      <c r="R10" s="10" t="inlineStr">
        <is>
          <t>발표 CAGR(3.3%)과 앵커값 내재 CAGR(약 3.9%) 불일치. 규모도 타 기관 대비 작음</t>
        </is>
      </c>
      <c r="S10" s="11" t="inlineStr">
        <is>
          <t>https://straitsresearch.com/report/semiconductor-manufacturing-equipment-market/south-korea</t>
        </is>
      </c>
    </row>
    <row r="11">
      <c r="A11" s="4" t="inlineStr">
        <is>
          <t>Future Market Insights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8" t="inlineStr">
        <is>
          <t>9.8%</t>
        </is>
      </c>
      <c r="P11" s="8" t="inlineStr">
        <is>
          <t>2026-2036</t>
        </is>
      </c>
      <c r="Q11" s="8" t="inlineStr">
        <is>
          <t>26년 (2026~2036 전망)</t>
        </is>
      </c>
      <c r="R11" s="10" t="inlineStr">
        <is>
          <t>글로벌 리포트 내 국가별 CAGR로 한국 9.8% 제시(세계 최고 수준). 한국 절대 규모는 원문 미공개 / 검색 스니펫상 2026년 US$18.5B 언급 있으나 원문 확인 불가</t>
        </is>
      </c>
      <c r="S11" s="11" t="inlineStr">
        <is>
          <t>https://www.futuremarketinsights.com/reports/semiconductor-manufacturing-equipment-market</t>
        </is>
      </c>
    </row>
    <row r="12"/>
    <row r="13">
      <c r="A13" s="12" t="inlineStr">
        <is>
          <t>[참고] SEMI (실적/공식 전망, 한국 장비 매출액)</t>
        </is>
      </c>
      <c r="B13" s="13" t="n">
        <v>20500</v>
      </c>
      <c r="C13" s="13" t="n">
        <v>25800</v>
      </c>
      <c r="D13" s="13" t="n">
        <v>29660</v>
      </c>
      <c r="N13" s="14" t="inlineStr">
        <is>
          <t>-</t>
        </is>
      </c>
      <c r="P13" s="14" t="inlineStr">
        <is>
          <t>실적/전망</t>
        </is>
      </c>
      <c r="Q13" s="14" t="inlineStr">
        <is>
          <t>26.04 / 25.12</t>
        </is>
      </c>
      <c r="R13" s="15" t="inlineStr">
        <is>
          <t>2024·2025는 SEMI WWSEMS 실적(신품 장비 출하액), 2026은 SEMI 연말전망 기반 지역별 추정치. 상세는 'SEMI_실적' 시트</t>
        </is>
      </c>
      <c r="S13" s="16" t="inlineStr">
        <is>
          <t>https://www.semi.org/en/SEMI-Reports-Global-Semiconductor-Equipment-Billings-Reached-135-Billion-in-2025</t>
        </is>
      </c>
    </row>
    <row r="15">
      <c r="A15" s="17" t="inlineStr">
        <is>
          <t>범례 / 산출 방법</t>
        </is>
      </c>
    </row>
    <row r="16">
      <c r="A16" s="2" t="inlineStr">
        <is>
          <t>· 파란색 숫자 = 각 기관이 웹페이지에 직접 공개한 수치(앵커). 검은색 숫자 = 앵커 사이를 내재 CAGR로 보간한 값이며 기관 공식 수치가 아님.</t>
        </is>
      </c>
    </row>
    <row r="17">
      <c r="A17" s="2" t="inlineStr">
        <is>
          <t>· 내재 CAGR = (종료연도 앵커 / 시작연도 앵커)^(1/기간) - 1. 기관 '발표 CAGR'과 다른 경우 원문 자체의 수치 불일치이므로 두 값을 병기함.</t>
        </is>
      </c>
    </row>
    <row r="18">
      <c r="A18" s="2" t="inlineStr">
        <is>
          <t>· 각 기관 페이지는 연도별 시계열을 전면 공개하지 않고 시작/종료 연도와 CAGR만 공개하므로, 중간연도는 보간 외 방법이 없음(유료 리포트 구매 시 원본 시계열 확보 가능).</t>
        </is>
      </c>
    </row>
    <row r="19">
      <c r="A19" s="2" t="inlineStr">
        <is>
          <t>· 조사기관 리포트는 정의·범위 차이로 규모 편차가 매우 큼(2025년 기준 2.2B~14.8B). 실제 집행액 지표로는 SEMI WWSEMS(2025년 한국 258억달러)가 업계 표준.</t>
        </is>
      </c>
    </row>
  </sheetData>
  <hyperlinks>
    <hyperlink xmlns:r="http://schemas.openxmlformats.org/officeDocument/2006/relationships" ref="S6" r:id="rId1"/>
    <hyperlink xmlns:r="http://schemas.openxmlformats.org/officeDocument/2006/relationships" ref="S7" r:id="rId2"/>
    <hyperlink xmlns:r="http://schemas.openxmlformats.org/officeDocument/2006/relationships" ref="S8" r:id="rId3"/>
    <hyperlink xmlns:r="http://schemas.openxmlformats.org/officeDocument/2006/relationships" ref="S9" r:id="rId4"/>
    <hyperlink xmlns:r="http://schemas.openxmlformats.org/officeDocument/2006/relationships" ref="S10" r:id="rId5"/>
    <hyperlink xmlns:r="http://schemas.openxmlformats.org/officeDocument/2006/relationships" ref="S1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70" customWidth="1" min="9" max="9"/>
  </cols>
  <sheetData>
    <row r="1">
      <c r="A1" s="1" t="inlineStr">
        <is>
          <t>SEMI - 국가/지역별 반도체 장비 실적 및 전망 (단위: 십억달러, US$ B)</t>
        </is>
      </c>
    </row>
    <row r="2">
      <c r="A2" s="27" t="inlineStr">
        <is>
          <t>※ 중요 : SEMI는 국가별 '연도별' 전망을 2030년까지 공개하지 않습니다. 공개 범위 = 총장비 국가별은 실적(~2025)까지, 300mm 팹장비 국가별은 3년 누적(2026-2028)까지, 글로벌 연도별은 2029년(+성장률만 2031년)까지.</t>
        </is>
      </c>
    </row>
    <row r="3">
      <c r="A3" s="2" t="inlineStr">
        <is>
          <t>파란색 = SEMI 공식 발표 수치 / 주황색 = SEMI 공개 수치를 근거로 한 추정치(SEMI 공식 수치 아님)</t>
        </is>
      </c>
    </row>
    <row r="5">
      <c r="A5" s="28" t="inlineStr">
        <is>
          <t>① 총 반도체 장비 매출 실적 - 지역별 (SEMI + SEAJ, 2026.04 발표)  ※ 첨부하신 표와 동일 데이터</t>
        </is>
      </c>
    </row>
    <row r="6">
      <c r="A6" s="3" t="inlineStr">
        <is>
          <t>지역</t>
        </is>
      </c>
      <c r="B6" s="3" t="inlineStr">
        <is>
          <t>2024</t>
        </is>
      </c>
      <c r="C6" s="3" t="inlineStr">
        <is>
          <t>2025</t>
        </is>
      </c>
      <c r="D6" s="3" t="inlineStr">
        <is>
          <t>YoY %</t>
        </is>
      </c>
      <c r="E6" s="3" t="inlineStr">
        <is>
          <t>2025 비중</t>
        </is>
      </c>
      <c r="F6" s="3" t="inlineStr">
        <is>
          <t>비고</t>
        </is>
      </c>
    </row>
    <row r="7">
      <c r="A7" s="19" t="inlineStr">
        <is>
          <t>중국</t>
        </is>
      </c>
      <c r="B7" s="29" t="n">
        <v>49.55</v>
      </c>
      <c r="C7" s="29" t="n">
        <v>49.31</v>
      </c>
      <c r="D7" s="30">
        <f>C7/B7-1</f>
        <v/>
      </c>
      <c r="E7" s="30">
        <f>C7/C$14</f>
        <v/>
      </c>
      <c r="F7" s="21" t="inlineStr">
        <is>
          <t>성숙노드 중심, 사실상 보합. 2026년부터 완만한 감소 전망</t>
        </is>
      </c>
    </row>
    <row r="8">
      <c r="A8" s="19" t="inlineStr">
        <is>
          <t>대만</t>
        </is>
      </c>
      <c r="B8" s="29" t="n">
        <v>16.56</v>
      </c>
      <c r="C8" s="29" t="n">
        <v>31.5</v>
      </c>
      <c r="D8" s="30">
        <f>C8/B8-1</f>
        <v/>
      </c>
      <c r="E8" s="30">
        <f>C8/C$14</f>
        <v/>
      </c>
      <c r="F8" s="21" t="inlineStr">
        <is>
          <t>TSMC 2nm 이하 첨단로직 증설, +90% 급증하며 2위</t>
        </is>
      </c>
    </row>
    <row r="9">
      <c r="A9" s="31" t="inlineStr">
        <is>
          <t>한국</t>
        </is>
      </c>
      <c r="B9" s="32" t="n">
        <v>20.47</v>
      </c>
      <c r="C9" s="32" t="n">
        <v>25.75</v>
      </c>
      <c r="D9" s="33">
        <f>C9/B9-1</f>
        <v/>
      </c>
      <c r="E9" s="33">
        <f>C9/C$14</f>
        <v/>
      </c>
      <c r="F9" s="34" t="inlineStr">
        <is>
          <t>HBM·DRAM 투자 지속. 2024년 2위 → 2025년 3위</t>
        </is>
      </c>
    </row>
    <row r="10">
      <c r="A10" s="19" t="inlineStr">
        <is>
          <t>북미</t>
        </is>
      </c>
      <c r="B10" s="29" t="n">
        <v>13.69</v>
      </c>
      <c r="C10" s="29" t="n">
        <v>10.89</v>
      </c>
      <c r="D10" s="30">
        <f>C10/B10-1</f>
        <v/>
      </c>
      <c r="E10" s="30">
        <f>C10/C$14</f>
        <v/>
      </c>
      <c r="F10" s="21" t="inlineStr"/>
    </row>
    <row r="11">
      <c r="A11" s="19" t="inlineStr">
        <is>
          <t>일본</t>
        </is>
      </c>
      <c r="B11" s="29" t="n">
        <v>7.83</v>
      </c>
      <c r="C11" s="29" t="n">
        <v>9.52</v>
      </c>
      <c r="D11" s="30">
        <f>C11/B11-1</f>
        <v/>
      </c>
      <c r="E11" s="30">
        <f>C11/C$14</f>
        <v/>
      </c>
      <c r="F11" s="21" t="inlineStr"/>
    </row>
    <row r="12">
      <c r="A12" s="19" t="inlineStr">
        <is>
          <t>유럽</t>
        </is>
      </c>
      <c r="B12" s="29" t="n">
        <v>4.85</v>
      </c>
      <c r="C12" s="29" t="n">
        <v>2.86</v>
      </c>
      <c r="D12" s="30">
        <f>C12/B12-1</f>
        <v/>
      </c>
      <c r="E12" s="30">
        <f>C12/C$14</f>
        <v/>
      </c>
      <c r="F12" s="21" t="inlineStr"/>
    </row>
    <row r="13">
      <c r="A13" s="19" t="inlineStr">
        <is>
          <t>기타</t>
        </is>
      </c>
      <c r="B13" s="29" t="n">
        <v>4.19</v>
      </c>
      <c r="C13" s="29" t="n">
        <v>5.23</v>
      </c>
      <c r="D13" s="30">
        <f>C13/B13-1</f>
        <v/>
      </c>
      <c r="E13" s="30">
        <f>C13/C$14</f>
        <v/>
      </c>
      <c r="F13" s="21" t="inlineStr"/>
    </row>
    <row r="14">
      <c r="A14" s="4" t="inlineStr">
        <is>
          <t>전 세계 합계</t>
        </is>
      </c>
      <c r="B14" s="35">
        <f>SUM(B7:B13)</f>
        <v/>
      </c>
      <c r="C14" s="35">
        <f>SUM(C7:C13)</f>
        <v/>
      </c>
      <c r="D14" s="30">
        <f>C14/B14-1</f>
        <v/>
      </c>
      <c r="E14" s="5" t="n"/>
      <c r="F14" s="21" t="inlineStr">
        <is>
          <t>중국·대만·한국 합계가 전 세계의 79% (2024년 74%)</t>
        </is>
      </c>
    </row>
    <row r="15">
      <c r="A15" s="2" t="inlineStr">
        <is>
          <t>출처: SEMI, Worldwide Semiconductor Equipment Market Statistics (WWSEMS) / SEAJ, 2026.04</t>
        </is>
      </c>
    </row>
    <row r="16">
      <c r="A16" s="16" t="inlineStr">
        <is>
          <t>https://www.semi.org/en/SEMI-Reports-Global-Semiconductor-Equipment-Billings-Reached-135-Billion-in-2025</t>
        </is>
      </c>
    </row>
    <row r="19">
      <c r="A19" s="28" t="inlineStr">
        <is>
          <t>② 총 반도체 장비 - 글로벌 연도별 전망 (발표 시점별) ※ 국가별 금액은 미공개, 순위만 공개</t>
        </is>
      </c>
    </row>
    <row r="20">
      <c r="A20" s="3" t="inlineStr">
        <is>
          <t>발표시점</t>
        </is>
      </c>
      <c r="B20" s="3" t="inlineStr">
        <is>
          <t>2025</t>
        </is>
      </c>
      <c r="C20" s="3" t="inlineStr">
        <is>
          <t>2026F</t>
        </is>
      </c>
      <c r="D20" s="3" t="inlineStr">
        <is>
          <t>2027F</t>
        </is>
      </c>
      <c r="E20" s="3" t="inlineStr">
        <is>
          <t>2028F</t>
        </is>
      </c>
      <c r="F20" s="3" t="inlineStr">
        <is>
          <t>국가별 언급 내용</t>
        </is>
      </c>
      <c r="G20" s="3" t="inlineStr">
        <is>
          <t>출처(URL)</t>
        </is>
      </c>
    </row>
    <row r="21">
      <c r="A21" s="4" t="inlineStr">
        <is>
          <t>25.12 연말전망</t>
        </is>
      </c>
      <c r="B21" s="29" t="n">
        <v>133</v>
      </c>
      <c r="C21" s="29" t="n">
        <v>145</v>
      </c>
      <c r="D21" s="29" t="n">
        <v>156</v>
      </c>
      <c r="E21" s="5" t="n"/>
      <c r="F21" s="10" t="inlineStr">
        <is>
          <t>중국·대만·한국이 2027년까지 상위 3대 시장 유지 (금액 미공개). 한국은 첨단 메모리(HBM) 투자가 견인</t>
        </is>
      </c>
      <c r="G21" s="22" t="inlineStr">
        <is>
          <t>https://www.semi.org/en/semi-press-release/global-semiconductor-equipment-sales-projected-to-reach-a-record-of-156-billion-dollars-in-2027-semi-reports</t>
        </is>
      </c>
    </row>
    <row r="22">
      <c r="A22" s="4" t="inlineStr">
        <is>
          <t>26.04 실적확정</t>
        </is>
      </c>
      <c r="B22" s="29" t="n">
        <v>135.1</v>
      </c>
      <c r="C22" s="5" t="n"/>
      <c r="D22" s="5" t="n"/>
      <c r="E22" s="5" t="n"/>
      <c r="F22" s="10" t="inlineStr">
        <is>
          <t>2025년 실적 확정. 중국 49.3 / 대만 31.5 / 한국 25.8</t>
        </is>
      </c>
      <c r="G22" s="22" t="inlineStr">
        <is>
          <t>https://www.semi.org/en/SEMI-Reports-Global-Semiconductor-Equipment-Billings-Reached-135-Billion-in-2025</t>
        </is>
      </c>
    </row>
    <row r="23">
      <c r="A23" s="4" t="inlineStr">
        <is>
          <t>26.07 연중전망(OEM)</t>
        </is>
      </c>
      <c r="B23" s="5" t="n"/>
      <c r="C23" s="29" t="n">
        <v>165.9</v>
      </c>
      <c r="D23" s="5" t="n"/>
      <c r="E23" s="29" t="n">
        <v>229.5</v>
      </c>
      <c r="F23" s="10" t="inlineStr">
        <is>
          <t>중국·대만·한국이 2028년까지 상위 3대 시장 유지 (금액 미공개). 한국은 첨단 메모리(HBM)가 견인</t>
        </is>
      </c>
      <c r="G23" s="22" t="inlineStr">
        <is>
          <t>https://www.semi.org/en/semi-press-release/global-semiconductor-equipment-sales-forecast-to-reach-a-record-229-billion-dollars-in-2028-semi-reports</t>
        </is>
      </c>
    </row>
    <row r="26">
      <c r="A26" s="28" t="inlineStr">
        <is>
          <t>③ 300mm 팹장비(Fab Equipment) - 글로벌 연도별 전망  ※ SEMI가 국가 단위로 가장 멀리 보는 데이터셋</t>
        </is>
      </c>
    </row>
    <row r="27">
      <c r="A27" s="3" t="inlineStr">
        <is>
          <t>구분</t>
        </is>
      </c>
      <c r="B27" s="3" t="inlineStr">
        <is>
          <t>2025</t>
        </is>
      </c>
      <c r="C27" s="3" t="inlineStr">
        <is>
          <t>2026F</t>
        </is>
      </c>
      <c r="D27" s="3" t="inlineStr">
        <is>
          <t>2027F</t>
        </is>
      </c>
      <c r="E27" s="3" t="inlineStr">
        <is>
          <t>2028F</t>
        </is>
      </c>
      <c r="F27" s="3" t="inlineStr">
        <is>
          <t>2029F</t>
        </is>
      </c>
      <c r="G27" s="3" t="inlineStr">
        <is>
          <t>2030F</t>
        </is>
      </c>
      <c r="H27" s="3" t="inlineStr">
        <is>
          <t>2031F</t>
        </is>
      </c>
      <c r="I27" s="3" t="inlineStr">
        <is>
          <t>비고</t>
        </is>
      </c>
    </row>
    <row r="28">
      <c r="A28" s="4" t="inlineStr">
        <is>
          <t>글로벌 300mm 팹장비 투자</t>
        </is>
      </c>
      <c r="B28" s="29" t="n">
        <v>112.7</v>
      </c>
      <c r="C28" s="29" t="n">
        <v>133</v>
      </c>
      <c r="D28" s="29" t="n">
        <v>151</v>
      </c>
      <c r="E28" s="29" t="n">
        <v>155</v>
      </c>
      <c r="F28" s="29" t="n">
        <v>172</v>
      </c>
      <c r="G28" s="36">
        <f>F28*(1-0.03)</f>
        <v/>
      </c>
      <c r="H28" s="36">
        <f>G28*(1+0.01)</f>
        <v/>
      </c>
      <c r="I28" s="21" t="inlineStr">
        <is>
          <t>2026·2027은 26.04 발표, 2028·2029는 300mm Fab Outlook. 2030(-3%)·2031(+1%)은 SEMI가 성장률만 공개 → 금액은 역산 추정</t>
        </is>
      </c>
    </row>
    <row r="29">
      <c r="A29" s="4" t="inlineStr">
        <is>
          <t>YoY %</t>
        </is>
      </c>
      <c r="B29" s="5" t="n"/>
      <c r="C29" s="30">
        <f>C28/B28-1</f>
        <v/>
      </c>
      <c r="D29" s="30">
        <f>D28/C28-1</f>
        <v/>
      </c>
      <c r="E29" s="30">
        <f>E28/D28-1</f>
        <v/>
      </c>
      <c r="F29" s="30">
        <f>F28/E28-1</f>
        <v/>
      </c>
      <c r="G29" s="30">
        <f>G28/F28-1</f>
        <v/>
      </c>
      <c r="H29" s="30">
        <f>H28/G28-1</f>
        <v/>
      </c>
      <c r="I29" s="5" t="n"/>
    </row>
    <row r="30">
      <c r="A30" s="2" t="inlineStr">
        <is>
          <t>출처: SEMI 300mm Fab Outlook (2026.04) / SEMI 300mm Fab Outlook 제품 페이지(2029~2031 확장 전망)</t>
        </is>
      </c>
    </row>
    <row r="31">
      <c r="A31" s="16" t="inlineStr">
        <is>
          <t>https://www.semi.org/en/semi-press-release/semi-projects-double-digit-growth-in-global-300mm-fab-equipment-spending-for-2026-and-2027</t>
        </is>
      </c>
    </row>
    <row r="32">
      <c r="A32" s="16" t="inlineStr">
        <is>
          <t>https://www.semi.org/en/products-services/market-data/300mm-fab-outlook</t>
        </is>
      </c>
    </row>
    <row r="35">
      <c r="A35" s="28" t="inlineStr">
        <is>
          <t>④ 300mm 팹장비 - 국가/지역별 3년 누적 투자액  ※ SEMI가 공개하는 유일한 '국가별 전망' 형태</t>
        </is>
      </c>
    </row>
    <row r="36">
      <c r="A36" s="3" t="inlineStr">
        <is>
          <t>국가/지역</t>
        </is>
      </c>
      <c r="B36" s="3" t="inlineStr">
        <is>
          <t>2025-2027 누적 (24.10 발표)</t>
        </is>
      </c>
      <c r="C36" s="3" t="inlineStr">
        <is>
          <t>2026-2028 누적 (25.10 발표)</t>
        </is>
      </c>
      <c r="D36" s="3" t="inlineStr">
        <is>
          <t>비중</t>
        </is>
      </c>
      <c r="E36" s="3" t="inlineStr">
        <is>
          <t>연평균 환산</t>
        </is>
      </c>
      <c r="F36" s="3" t="inlineStr">
        <is>
          <t>비고</t>
        </is>
      </c>
    </row>
    <row r="37">
      <c r="A37" s="19" t="inlineStr">
        <is>
          <t>중국</t>
        </is>
      </c>
      <c r="B37" s="29" t="n">
        <v>100</v>
      </c>
      <c r="C37" s="29" t="n">
        <v>94</v>
      </c>
      <c r="D37" s="30">
        <f>IF(C37="","",C37/SUM(C$37:C$43))</f>
        <v/>
      </c>
      <c r="E37" s="37">
        <f>C37/3</f>
        <v/>
      </c>
      <c r="F37" s="21" t="inlineStr">
        <is>
          <t>자급률 정책. 2024년 450억달러 정점 → 2027년 310억달러로 점진 감소 전망</t>
        </is>
      </c>
    </row>
    <row r="38">
      <c r="A38" s="31" t="inlineStr">
        <is>
          <t>한국</t>
        </is>
      </c>
      <c r="B38" s="32" t="n">
        <v>81</v>
      </c>
      <c r="C38" s="32" t="n">
        <v>86</v>
      </c>
      <c r="D38" s="33">
        <f>IF(C38="","",C38/SUM(C$37:C$43))</f>
        <v/>
      </c>
      <c r="E38" s="38">
        <f>C38/3</f>
        <v/>
      </c>
      <c r="F38" s="34" t="inlineStr">
        <is>
          <t>DRAM·HBM·3D NAND. 2위 유지</t>
        </is>
      </c>
    </row>
    <row r="39">
      <c r="A39" s="19" t="inlineStr">
        <is>
          <t>대만</t>
        </is>
      </c>
      <c r="B39" s="29" t="n">
        <v>75</v>
      </c>
      <c r="C39" s="29" t="n">
        <v>75</v>
      </c>
      <c r="D39" s="30">
        <f>IF(C39="","",C39/SUM(C$37:C$43))</f>
        <v/>
      </c>
      <c r="E39" s="37">
        <f>C39/3</f>
        <v/>
      </c>
      <c r="F39" s="21" t="inlineStr">
        <is>
          <t>3nm 이하 첨단로직이 주 동인</t>
        </is>
      </c>
    </row>
    <row r="40">
      <c r="A40" s="19" t="inlineStr">
        <is>
          <t>미주(Americas)</t>
        </is>
      </c>
      <c r="B40" s="5" t="n"/>
      <c r="C40" s="29" t="n">
        <v>60</v>
      </c>
      <c r="D40" s="30">
        <f>IF(C40="","",C40/SUM(C$37:C$43))</f>
        <v/>
      </c>
      <c r="E40" s="37">
        <f>C40/3</f>
        <v/>
      </c>
      <c r="F40" s="21" t="inlineStr">
        <is>
          <t>칩스법 기반 현지화. 2024년 120억 → 2027년 247억달러로 2배 확대 전망</t>
        </is>
      </c>
    </row>
    <row r="41">
      <c r="A41" s="19" t="inlineStr">
        <is>
          <t>일본</t>
        </is>
      </c>
      <c r="B41" s="29" t="n">
        <v>32</v>
      </c>
      <c r="C41" s="29" t="n">
        <v>32</v>
      </c>
      <c r="D41" s="30">
        <f>IF(C41="","",C41/SUM(C$37:C$43))</f>
        <v/>
      </c>
      <c r="E41" s="37">
        <f>C41/3</f>
        <v/>
      </c>
      <c r="F41" s="21" t="inlineStr"/>
    </row>
    <row r="42">
      <c r="A42" s="19" t="inlineStr">
        <is>
          <t>유럽·중동</t>
        </is>
      </c>
      <c r="B42" s="29" t="n">
        <v>14</v>
      </c>
      <c r="C42" s="29" t="n">
        <v>14</v>
      </c>
      <c r="D42" s="30">
        <f>IF(C42="","",C42/SUM(C$37:C$43))</f>
        <v/>
      </c>
      <c r="E42" s="37">
        <f>C42/3</f>
        <v/>
      </c>
      <c r="F42" s="21" t="inlineStr"/>
    </row>
    <row r="43">
      <c r="A43" s="19" t="inlineStr">
        <is>
          <t>동남아</t>
        </is>
      </c>
      <c r="B43" s="29" t="n">
        <v>12</v>
      </c>
      <c r="C43" s="29" t="n">
        <v>12</v>
      </c>
      <c r="D43" s="30">
        <f>IF(C43="","",C43/SUM(C$37:C$43))</f>
        <v/>
      </c>
      <c r="E43" s="37">
        <f>C43/3</f>
        <v/>
      </c>
      <c r="F43" s="21" t="inlineStr"/>
    </row>
    <row r="44">
      <c r="A44" s="4" t="inlineStr">
        <is>
          <t>합계</t>
        </is>
      </c>
      <c r="B44" s="37">
        <f>SUM(B37:B43)</f>
        <v/>
      </c>
      <c r="C44" s="37">
        <f>SUM(C37:C43)</f>
        <v/>
      </c>
      <c r="D44" s="5" t="n"/>
      <c r="E44" s="5" t="n"/>
      <c r="F44" s="21" t="inlineStr">
        <is>
          <t>24.10 발표분 합계 약 4,000억달러 / 25.10 발표분 합계 3,740억달러</t>
        </is>
      </c>
    </row>
    <row r="45">
      <c r="A45" s="2" t="inlineStr">
        <is>
          <t>출처: SEMI '300mm Fab Equipment Spending $374B Over Next Three Years'(25.10) / 'Invest $400 Billion in 300mm Fab Equipment'(24.10)</t>
        </is>
      </c>
    </row>
    <row r="46">
      <c r="A46" s="16" t="inlineStr">
        <is>
          <t>https://www.semi.org/en/semi-press-release/semi-reports-global-300mm-fab-equipment-spending-expected-to-total-374-billion-dollars-over-next-three-years</t>
        </is>
      </c>
    </row>
    <row r="49">
      <c r="A49" s="28" t="inlineStr">
        <is>
          <t>⑤ 300mm 팹장비 - 국가별 연도별 수치  ※ 발표 자료(vintage)별로 구분. 자료가 다르면 시계열로 이어붙일 수 없음</t>
        </is>
      </c>
    </row>
    <row r="50">
      <c r="A50" s="3" t="inlineStr">
        <is>
          <t>발표 자료 / 국가</t>
        </is>
      </c>
      <c r="B50" s="3" t="inlineStr">
        <is>
          <t>2023</t>
        </is>
      </c>
      <c r="C50" s="3" t="inlineStr">
        <is>
          <t>2024</t>
        </is>
      </c>
      <c r="D50" s="3" t="inlineStr">
        <is>
          <t>2025</t>
        </is>
      </c>
      <c r="E50" s="3" t="inlineStr">
        <is>
          <t>2026</t>
        </is>
      </c>
      <c r="F50" s="3" t="inlineStr">
        <is>
          <t>2027</t>
        </is>
      </c>
      <c r="G50" s="3" t="inlineStr">
        <is>
          <t>출처 URL</t>
        </is>
      </c>
    </row>
    <row r="51">
      <c r="A51" s="41" t="inlineStr">
        <is>
          <t>[A] SEMI '300mm Fab Outlook to 2027' - 2024.03.19 발표  ※ 2027년 국가별 합계 136.9 = 발표 총액 137과 일치(검산 완료)</t>
        </is>
      </c>
      <c r="B51" s="42" t="n"/>
      <c r="C51" s="42" t="n"/>
      <c r="D51" s="42" t="n"/>
      <c r="E51" s="42" t="n"/>
      <c r="F51" s="42" t="n"/>
      <c r="G51" s="42" t="n"/>
    </row>
    <row r="52">
      <c r="A52" s="19" t="inlineStr">
        <is>
          <t xml:space="preserve">    글로벌 300mm 합계</t>
        </is>
      </c>
      <c r="B52" s="5" t="n"/>
      <c r="C52" s="5" t="n"/>
      <c r="D52" s="29" t="n">
        <v>116.5</v>
      </c>
      <c r="E52" s="29" t="n">
        <v>130.5</v>
      </c>
      <c r="F52" s="29" t="n">
        <v>137</v>
      </c>
      <c r="G52" s="22" t="inlineStr">
        <is>
          <t>https://www.semi.org/en/news-media-press-releases/semi-press-releases/300mm-fab-equipment-spending-forecast-to-reach-record-$137-billion-in-2027-semi-reports</t>
        </is>
      </c>
    </row>
    <row r="53">
      <c r="A53" s="19" t="inlineStr">
        <is>
          <t xml:space="preserve">    중국</t>
        </is>
      </c>
      <c r="B53" s="5" t="n"/>
      <c r="C53" s="5" t="n"/>
      <c r="D53" s="5" t="n"/>
      <c r="E53" s="5" t="n"/>
      <c r="F53" s="29" t="n">
        <v>30</v>
      </c>
      <c r="G53" s="22" t="inlineStr">
        <is>
          <t>https://www.semi.org/en/news-media-press-releases/semi-press-releases/300mm-fab-equipment-spending-forecast-to-reach-record-$137-billion-in-2027-semi-reports</t>
        </is>
      </c>
    </row>
    <row r="54">
      <c r="A54" s="19" t="inlineStr">
        <is>
          <t xml:space="preserve">    대만</t>
        </is>
      </c>
      <c r="B54" s="5" t="n"/>
      <c r="C54" s="5" t="n"/>
      <c r="D54" s="5" t="n"/>
      <c r="E54" s="5" t="n"/>
      <c r="F54" s="29" t="n">
        <v>28</v>
      </c>
      <c r="G54" s="22" t="inlineStr">
        <is>
          <t>https://www.semi.org/en/news-media-press-releases/semi-press-releases/300mm-fab-equipment-spending-forecast-to-reach-record-$137-billion-in-2027-semi-reports</t>
        </is>
      </c>
    </row>
    <row r="55">
      <c r="A55" s="31" t="inlineStr">
        <is>
          <t xml:space="preserve">    한국</t>
        </is>
      </c>
      <c r="B55" s="39" t="n"/>
      <c r="C55" s="39" t="n"/>
      <c r="D55" s="39" t="n"/>
      <c r="E55" s="39" t="n"/>
      <c r="F55" s="32" t="n">
        <v>26.3</v>
      </c>
      <c r="G55" s="43" t="inlineStr">
        <is>
          <t>https://www.semi.org/en/news-media-press-releases/semi-press-releases/300mm-fab-equipment-spending-forecast-to-reach-record-$137-billion-in-2027-semi-reports</t>
        </is>
      </c>
    </row>
    <row r="56">
      <c r="A56" s="19" t="inlineStr">
        <is>
          <t xml:space="preserve">    미주(Americas)</t>
        </is>
      </c>
      <c r="B56" s="5" t="n"/>
      <c r="C56" s="29" t="n">
        <v>12</v>
      </c>
      <c r="D56" s="5" t="n"/>
      <c r="E56" s="5" t="n"/>
      <c r="F56" s="29" t="n">
        <v>24.7</v>
      </c>
      <c r="G56" s="22" t="inlineStr">
        <is>
          <t>https://www.semi.org/en/news-media-press-releases/semi-press-releases/300mm-fab-equipment-spending-forecast-to-reach-record-$137-billion-in-2027-semi-reports</t>
        </is>
      </c>
    </row>
    <row r="57">
      <c r="A57" s="19" t="inlineStr">
        <is>
          <t xml:space="preserve">    일본</t>
        </is>
      </c>
      <c r="B57" s="5" t="n"/>
      <c r="C57" s="5" t="n"/>
      <c r="D57" s="5" t="n"/>
      <c r="E57" s="5" t="n"/>
      <c r="F57" s="29" t="n">
        <v>11.4</v>
      </c>
      <c r="G57" s="22" t="inlineStr">
        <is>
          <t>https://www.semi.org/en/news-media-press-releases/semi-press-releases/300mm-fab-equipment-spending-forecast-to-reach-record-$137-billion-in-2027-semi-reports</t>
        </is>
      </c>
    </row>
    <row r="58">
      <c r="A58" s="19" t="inlineStr">
        <is>
          <t xml:space="preserve">    유럽·중동</t>
        </is>
      </c>
      <c r="B58" s="5" t="n"/>
      <c r="C58" s="5" t="n"/>
      <c r="D58" s="5" t="n"/>
      <c r="E58" s="5" t="n"/>
      <c r="F58" s="29" t="n">
        <v>11.2</v>
      </c>
      <c r="G58" s="22" t="inlineStr">
        <is>
          <t>https://www.semi.org/en/news-media-press-releases/semi-press-releases/300mm-fab-equipment-spending-forecast-to-reach-record-$137-billion-in-2027-semi-reports</t>
        </is>
      </c>
    </row>
    <row r="59">
      <c r="A59" s="19" t="inlineStr">
        <is>
          <t xml:space="preserve">    동남아</t>
        </is>
      </c>
      <c r="B59" s="5" t="n"/>
      <c r="C59" s="5" t="n"/>
      <c r="D59" s="5" t="n"/>
      <c r="E59" s="5" t="n"/>
      <c r="F59" s="29" t="n">
        <v>5.3</v>
      </c>
      <c r="G59" s="22" t="inlineStr">
        <is>
          <t>https://www.semi.org/en/news-media-press-releases/semi-press-releases/300mm-fab-equipment-spending-forecast-to-reach-record-$137-billion-in-2027-semi-reports</t>
        </is>
      </c>
    </row>
    <row r="60">
      <c r="A60" s="41" t="inlineStr">
        <is>
          <t>[B] SEMI '$400B in 300mm Fab Equipment (2025-2027)' - 2024.10 발표 (SCMP 인용)</t>
        </is>
      </c>
      <c r="B60" s="42" t="n"/>
      <c r="C60" s="42" t="n"/>
      <c r="D60" s="42" t="n"/>
      <c r="E60" s="42" t="n"/>
      <c r="F60" s="42" t="n"/>
      <c r="G60" s="42" t="n"/>
    </row>
    <row r="61">
      <c r="A61" s="19" t="inlineStr">
        <is>
          <t xml:space="preserve">    중국</t>
        </is>
      </c>
      <c r="B61" s="5" t="n"/>
      <c r="C61" s="29" t="n">
        <v>45</v>
      </c>
      <c r="D61" s="5" t="n"/>
      <c r="E61" s="5" t="n"/>
      <c r="F61" s="29" t="n">
        <v>31</v>
      </c>
      <c r="G61" s="22" t="inlineStr">
        <is>
          <t>https://www.scmp.com/tech/tech-trends/article/3280146/china-south-korea-taiwan-spend-most-chip-equipment-2025-2027-industry-body-says</t>
        </is>
      </c>
    </row>
    <row r="62">
      <c r="A62" s="41" t="inlineStr">
        <is>
          <t>[C] SEMI '300mm Fab Outlook to 2026' - 2023.07 발표  ※ 구(舊) vintage, 현재 전망과 크게 상이하므로 추세 참고용</t>
        </is>
      </c>
      <c r="B62" s="42" t="n"/>
      <c r="C62" s="42" t="n"/>
      <c r="D62" s="42" t="n"/>
      <c r="E62" s="42" t="n"/>
      <c r="F62" s="42" t="n"/>
      <c r="G62" s="42" t="n"/>
    </row>
    <row r="63">
      <c r="A63" s="19" t="inlineStr">
        <is>
          <t xml:space="preserve">    글로벌 300mm 합계</t>
        </is>
      </c>
      <c r="B63" s="29" t="n">
        <v>74</v>
      </c>
      <c r="C63" s="29" t="n">
        <v>82</v>
      </c>
      <c r="D63" s="29" t="n">
        <v>101.9</v>
      </c>
      <c r="E63" s="29" t="n">
        <v>118.8</v>
      </c>
      <c r="F63" s="5" t="n"/>
      <c r="G63" s="22" t="inlineStr">
        <is>
          <t>https://www.semi.org/en/news-media-press-releases/semi-press-releases/global-300mm-fab-equipment-spending-forecast-to-reach-record-$119-billion-in-2026-semi-reports</t>
        </is>
      </c>
    </row>
    <row r="64">
      <c r="A64" s="31" t="inlineStr">
        <is>
          <t xml:space="preserve">    한국</t>
        </is>
      </c>
      <c r="B64" s="32" t="n">
        <v>15.7</v>
      </c>
      <c r="C64" s="39" t="n"/>
      <c r="D64" s="39" t="n"/>
      <c r="E64" s="32" t="n">
        <v>30.2</v>
      </c>
      <c r="F64" s="39" t="n"/>
      <c r="G64" s="43" t="inlineStr">
        <is>
          <t>https://www.semi.org/en/news-media-press-releases/semi-press-releases/global-300mm-fab-equipment-spending-forecast-to-reach-record-$119-billion-in-2026-semi-reports</t>
        </is>
      </c>
    </row>
    <row r="65">
      <c r="A65" s="19" t="inlineStr">
        <is>
          <t xml:space="preserve">    대만</t>
        </is>
      </c>
      <c r="B65" s="29" t="n">
        <v>22.4</v>
      </c>
      <c r="C65" s="5" t="n"/>
      <c r="D65" s="5" t="n"/>
      <c r="E65" s="29" t="n">
        <v>23.8</v>
      </c>
      <c r="F65" s="5" t="n"/>
      <c r="G65" s="22" t="inlineStr">
        <is>
          <t>https://www.semi.org/en/news-media-press-releases/semi-press-releases/global-300mm-fab-equipment-spending-forecast-to-reach-record-$119-billion-in-2026-semi-reports</t>
        </is>
      </c>
    </row>
    <row r="66">
      <c r="A66" s="19" t="inlineStr">
        <is>
          <t xml:space="preserve">    중국</t>
        </is>
      </c>
      <c r="B66" s="29" t="n">
        <v>14.9</v>
      </c>
      <c r="C66" s="5" t="n"/>
      <c r="D66" s="5" t="n"/>
      <c r="E66" s="29" t="n">
        <v>16.1</v>
      </c>
      <c r="F66" s="5" t="n"/>
      <c r="G66" s="22" t="inlineStr">
        <is>
          <t>https://www.semi.org/en/news-media-press-releases/semi-press-releases/global-300mm-fab-equipment-spending-forecast-to-reach-record-$119-billion-in-2026-semi-reports</t>
        </is>
      </c>
    </row>
    <row r="67">
      <c r="A67" s="19" t="inlineStr">
        <is>
          <t xml:space="preserve">    미주(Americas)</t>
        </is>
      </c>
      <c r="B67" s="29" t="n">
        <v>9.6</v>
      </c>
      <c r="C67" s="5" t="n"/>
      <c r="D67" s="5" t="n"/>
      <c r="E67" s="29" t="n">
        <v>18.8</v>
      </c>
      <c r="F67" s="5" t="n"/>
      <c r="G67" s="22" t="inlineStr">
        <is>
          <t>https://www.semi.org/en/news-media-press-releases/semi-press-releases/global-300mm-fab-equipment-spending-forecast-to-reach-record-$119-billion-in-2026-semi-reports</t>
        </is>
      </c>
    </row>
    <row r="69">
      <c r="A69" s="44" t="inlineStr">
        <is>
          <t>[D] 출처 확인 실패로 표에서 제외한 수치</t>
        </is>
      </c>
    </row>
    <row r="70">
      <c r="A70" s="2" t="inlineStr">
        <is>
          <t>· 한국 2025년 21.5 / 2026년 27.0, 대만 21.0 / 24.5, 미주 14.0 / 20.0, 일본 14.0 / 11.0 (십억달러)</t>
        </is>
      </c>
    </row>
    <row r="71">
      <c r="A71" s="2" t="inlineStr">
        <is>
          <t xml:space="preserve">  → 웹 검색 요약에는 나타났으나 이를 담은 SEMI 보도자료를 특정하지 못했고, ④의 3년 누적치와도 합이 맞지 않아 제외했습니다.</t>
        </is>
      </c>
    </row>
    <row r="72">
      <c r="A72" s="2" t="inlineStr">
        <is>
          <t xml:space="preserve">  (검산: 한국 21.5+27.0+26.3=74.8 vs SEMI 발표 2025-27 누적 81 / 일본 14.0+11.0+11.4=36.4 vs 발표 누적 32 → 불일치)</t>
        </is>
      </c>
    </row>
    <row r="73">
      <c r="A73" s="2" t="inlineStr">
        <is>
          <t>· 중국 2027년 값은 자료별로 30(2024.03 발표)과 31(2024.10 발표)로 다릅니다. 두 값 모두 병기했습니다.</t>
        </is>
      </c>
    </row>
    <row r="77">
      <c r="A77" s="28" t="inlineStr">
        <is>
          <t>⑥ [추정] 2029~2030년 국가별 300mm 팹장비 투자  ※ SEMI 공식 수치 아님. 아래 가정에 따른 계산값</t>
        </is>
      </c>
    </row>
    <row r="78">
      <c r="A78" s="2" t="inlineStr">
        <is>
          <t>가정 : ③의 글로벌 연도별 전망(2029년 1,720억, 2030년 -3%)에 ④의 2026-2028 누적 국가별 비중이 그대로 유지된다고 가정하여 배분</t>
        </is>
      </c>
    </row>
    <row r="79">
      <c r="A79" s="3" t="inlineStr">
        <is>
          <t>국가/지역</t>
        </is>
      </c>
      <c r="B79" s="3" t="inlineStr">
        <is>
          <t>비중 (2026-28 누적 기준)</t>
        </is>
      </c>
      <c r="C79" s="3" t="inlineStr">
        <is>
          <t>2029F 추정</t>
        </is>
      </c>
      <c r="D79" s="3" t="inlineStr">
        <is>
          <t>2030F 추정</t>
        </is>
      </c>
      <c r="E79" s="3" t="inlineStr">
        <is>
          <t>비고</t>
        </is>
      </c>
    </row>
    <row r="80">
      <c r="A80" s="19" t="inlineStr">
        <is>
          <t>중국</t>
        </is>
      </c>
      <c r="B80" s="30">
        <f>C37/C$44</f>
        <v/>
      </c>
      <c r="C80" s="36">
        <f>$B80*F$28</f>
        <v/>
      </c>
      <c r="D80" s="36">
        <f>$B80*G$28</f>
        <v/>
      </c>
      <c r="E80" s="5" t="n"/>
    </row>
    <row r="81">
      <c r="A81" s="4" t="inlineStr">
        <is>
          <t>한국</t>
        </is>
      </c>
      <c r="B81" s="30">
        <f>C38/C$44</f>
        <v/>
      </c>
      <c r="C81" s="36">
        <f>$B81*F$28</f>
        <v/>
      </c>
      <c r="D81" s="36">
        <f>$B81*G$28</f>
        <v/>
      </c>
      <c r="E81" s="21" t="inlineStr">
        <is>
          <t>비중 23% 유지 가정 시 2030년 약 380억달러 수준</t>
        </is>
      </c>
    </row>
    <row r="82">
      <c r="A82" s="19" t="inlineStr">
        <is>
          <t>대만</t>
        </is>
      </c>
      <c r="B82" s="30">
        <f>C39/C$44</f>
        <v/>
      </c>
      <c r="C82" s="36">
        <f>$B82*F$28</f>
        <v/>
      </c>
      <c r="D82" s="36">
        <f>$B82*G$28</f>
        <v/>
      </c>
      <c r="E82" s="5" t="n"/>
    </row>
    <row r="83">
      <c r="A83" s="19" t="inlineStr">
        <is>
          <t>미주(Americas)</t>
        </is>
      </c>
      <c r="B83" s="30">
        <f>C40/C$44</f>
        <v/>
      </c>
      <c r="C83" s="36">
        <f>$B83*F$28</f>
        <v/>
      </c>
      <c r="D83" s="36">
        <f>$B83*G$28</f>
        <v/>
      </c>
      <c r="E83" s="5" t="n"/>
    </row>
    <row r="84">
      <c r="A84" s="19" t="inlineStr">
        <is>
          <t>일본</t>
        </is>
      </c>
      <c r="B84" s="30">
        <f>C41/C$44</f>
        <v/>
      </c>
      <c r="C84" s="36">
        <f>$B84*F$28</f>
        <v/>
      </c>
      <c r="D84" s="36">
        <f>$B84*G$28</f>
        <v/>
      </c>
      <c r="E84" s="5" t="n"/>
    </row>
    <row r="85">
      <c r="A85" s="19" t="inlineStr">
        <is>
          <t>유럽·중동</t>
        </is>
      </c>
      <c r="B85" s="30">
        <f>C42/C$44</f>
        <v/>
      </c>
      <c r="C85" s="36">
        <f>$B85*F$28</f>
        <v/>
      </c>
      <c r="D85" s="36">
        <f>$B85*G$28</f>
        <v/>
      </c>
      <c r="E85" s="5" t="n"/>
    </row>
    <row r="86">
      <c r="A86" s="19" t="inlineStr">
        <is>
          <t>동남아</t>
        </is>
      </c>
      <c r="B86" s="30">
        <f>C43/C$44</f>
        <v/>
      </c>
      <c r="C86" s="36">
        <f>$B86*F$28</f>
        <v/>
      </c>
      <c r="D86" s="36">
        <f>$B86*G$28</f>
        <v/>
      </c>
      <c r="E86" s="5" t="n"/>
    </row>
    <row r="87">
      <c r="A87" s="4" t="inlineStr">
        <is>
          <t>합계</t>
        </is>
      </c>
      <c r="B87" s="30">
        <f>SUM(B80:B86)</f>
        <v/>
      </c>
      <c r="C87" s="37">
        <f>SUM(C80:C86)</f>
        <v/>
      </c>
      <c r="D87" s="37">
        <f>SUM(D80:D86)</f>
        <v/>
      </c>
      <c r="E87" s="5" t="n"/>
    </row>
    <row r="89">
      <c r="A89" s="17" t="inlineStr">
        <is>
          <t>[추정의 한계]</t>
        </is>
      </c>
    </row>
    <row r="90">
      <c r="A90" s="2" t="inlineStr">
        <is>
          <t>· SEMI는 2029년 이후 국가별 배분을 공개하지 않으며, 실제로는 중국 비중 감소·미주 비중 증가가 전망되고 있어 비중 고정 가정은 보수적입니다.</t>
        </is>
      </c>
    </row>
    <row r="91">
      <c r="A91" s="2" t="inlineStr">
        <is>
          <t>· 300mm 팹장비는 총 반도체 장비(①②)보다 좁은 범위입니다(200mm·테스트·후공정 장비 제외). 총장비 기준으로는 2025년 한국이 300mm 215억 vs 총장비 258억으로 약 1.2배 차이.</t>
        </is>
      </c>
    </row>
    <row r="92">
      <c r="A92" s="2" t="inlineStr">
        <is>
          <t>· 2030년까지 국가별 연도별 공식 수치가 반드시 필요하시면 SEMI World Fab Forecast / 300mm Fab Outlook 유료 구독(분기 갱신)이 유일한 경로입니다.</t>
        </is>
      </c>
    </row>
    <row r="94">
      <c r="A94" s="16" t="inlineStr">
        <is>
          <t>SEMI World Fab Forecast: https://www.semi.org/en/products-services/market-data/world-fab-forecast</t>
        </is>
      </c>
    </row>
  </sheetData>
  <hyperlinks>
    <hyperlink xmlns:r="http://schemas.openxmlformats.org/officeDocument/2006/relationships" ref="A16" r:id="rId1"/>
    <hyperlink xmlns:r="http://schemas.openxmlformats.org/officeDocument/2006/relationships" ref="G21" r:id="rId2"/>
    <hyperlink xmlns:r="http://schemas.openxmlformats.org/officeDocument/2006/relationships" ref="G22" r:id="rId3"/>
    <hyperlink xmlns:r="http://schemas.openxmlformats.org/officeDocument/2006/relationships" ref="G23" r:id="rId4"/>
    <hyperlink xmlns:r="http://schemas.openxmlformats.org/officeDocument/2006/relationships" ref="A31" r:id="rId5"/>
    <hyperlink xmlns:r="http://schemas.openxmlformats.org/officeDocument/2006/relationships" ref="A32" r:id="rId6"/>
    <hyperlink xmlns:r="http://schemas.openxmlformats.org/officeDocument/2006/relationships" ref="A46" r:id="rId7"/>
    <hyperlink xmlns:r="http://schemas.openxmlformats.org/officeDocument/2006/relationships" ref="G52" r:id="rId8"/>
    <hyperlink xmlns:r="http://schemas.openxmlformats.org/officeDocument/2006/relationships" ref="G53" r:id="rId9"/>
    <hyperlink xmlns:r="http://schemas.openxmlformats.org/officeDocument/2006/relationships" ref="G54" r:id="rId10"/>
    <hyperlink xmlns:r="http://schemas.openxmlformats.org/officeDocument/2006/relationships" ref="G55" r:id="rId11"/>
    <hyperlink xmlns:r="http://schemas.openxmlformats.org/officeDocument/2006/relationships" ref="G56" r:id="rId12"/>
    <hyperlink xmlns:r="http://schemas.openxmlformats.org/officeDocument/2006/relationships" ref="G57" r:id="rId13"/>
    <hyperlink xmlns:r="http://schemas.openxmlformats.org/officeDocument/2006/relationships" ref="G58" r:id="rId14"/>
    <hyperlink xmlns:r="http://schemas.openxmlformats.org/officeDocument/2006/relationships" ref="G59" r:id="rId15"/>
    <hyperlink xmlns:r="http://schemas.openxmlformats.org/officeDocument/2006/relationships" ref="G61" r:id="rId16"/>
    <hyperlink xmlns:r="http://schemas.openxmlformats.org/officeDocument/2006/relationships" ref="G63" r:id="rId17"/>
    <hyperlink xmlns:r="http://schemas.openxmlformats.org/officeDocument/2006/relationships" ref="G64" r:id="rId18"/>
    <hyperlink xmlns:r="http://schemas.openxmlformats.org/officeDocument/2006/relationships" ref="G65" r:id="rId19"/>
    <hyperlink xmlns:r="http://schemas.openxmlformats.org/officeDocument/2006/relationships" ref="G66" r:id="rId20"/>
    <hyperlink xmlns:r="http://schemas.openxmlformats.org/officeDocument/2006/relationships" ref="G67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62" customWidth="1" min="6" max="6"/>
    <col width="62" customWidth="1" min="7" max="7"/>
  </cols>
  <sheetData>
    <row r="1">
      <c r="A1" s="1" t="inlineStr">
        <is>
          <t>SEMI - 반도체 장비 매출 실적 및 공식 전망 (단위: 백만달러)</t>
        </is>
      </c>
    </row>
    <row r="2">
      <c r="A2" s="2" t="inlineStr">
        <is>
          <t>SEMI WWSEMS(Worldwide Semiconductor Equipment Market Statistics) = 전 세계 신품 반도체 장비 출하액 실적, 업계 표준 지표</t>
        </is>
      </c>
    </row>
    <row r="4">
      <c r="A4" s="17" t="inlineStr">
        <is>
          <t>① 한국 반도체 장비 매출액 (지역별 billings)</t>
        </is>
      </c>
    </row>
    <row r="5">
      <c r="A5" s="3" t="inlineStr">
        <is>
          <t>구분</t>
        </is>
      </c>
      <c r="B5" s="3" t="inlineStr">
        <is>
          <t>2023</t>
        </is>
      </c>
      <c r="C5" s="3" t="inlineStr">
        <is>
          <t>2024</t>
        </is>
      </c>
      <c r="D5" s="3" t="inlineStr">
        <is>
          <t>2025</t>
        </is>
      </c>
      <c r="E5" s="3" t="inlineStr">
        <is>
          <t>2026F</t>
        </is>
      </c>
      <c r="F5" s="3" t="inlineStr">
        <is>
          <t>비고</t>
        </is>
      </c>
      <c r="G5" s="3" t="inlineStr">
        <is>
          <t>출처(URL)</t>
        </is>
      </c>
    </row>
    <row r="6">
      <c r="A6" s="17" t="inlineStr">
        <is>
          <t>한국 (금액)</t>
        </is>
      </c>
      <c r="C6" s="6" t="n">
        <v>20500</v>
      </c>
      <c r="D6" s="6" t="n">
        <v>25800</v>
      </c>
      <c r="E6" s="6" t="n">
        <v>29660</v>
      </c>
      <c r="F6" t="inlineStr">
        <is>
          <t>2026F는 SEMI 연말전망 기준 지역 추정치(당시 2025년 추정 23,320 대비 +27.2%). 실제 2025년은 25,800으로 확정</t>
        </is>
      </c>
      <c r="G6" s="16" t="inlineStr">
        <is>
          <t>https://www.digitimes.com/news/a20251229PD209/south-korea-chips-equipment-investment-dram-2026.html</t>
        </is>
      </c>
    </row>
    <row r="7">
      <c r="A7" s="17" t="inlineStr">
        <is>
          <t>한국 (YoY)</t>
        </is>
      </c>
      <c r="D7" s="18">
        <f>D6/C6-1</f>
        <v/>
      </c>
      <c r="E7" s="18">
        <f>E6/D6-1</f>
        <v/>
      </c>
      <c r="F7" t="inlineStr">
        <is>
          <t>2024 +3%(메모리 회복), 2025 +26%(HBM·DRAM 투자), 2026 +27%(2위 탈환 전망)</t>
        </is>
      </c>
    </row>
    <row r="9">
      <c r="A9" s="17" t="inlineStr">
        <is>
          <t>② 2025년 지역별 장비 매출 실적 (SEMI, 2026.04 발표)</t>
        </is>
      </c>
    </row>
    <row r="10">
      <c r="A10" s="3" t="inlineStr">
        <is>
          <t>지역</t>
        </is>
      </c>
      <c r="B10" s="3" t="inlineStr">
        <is>
          <t>2024</t>
        </is>
      </c>
      <c r="C10" s="3" t="inlineStr">
        <is>
          <t>2025</t>
        </is>
      </c>
      <c r="D10" s="3" t="inlineStr">
        <is>
          <t>YoY</t>
        </is>
      </c>
      <c r="E10" s="3" t="inlineStr">
        <is>
          <t>비고</t>
        </is>
      </c>
    </row>
    <row r="11">
      <c r="A11" s="19" t="inlineStr">
        <is>
          <t>중국</t>
        </is>
      </c>
      <c r="B11" s="6" t="n">
        <v>49600</v>
      </c>
      <c r="C11" s="6" t="n">
        <v>49300</v>
      </c>
      <c r="D11" s="20">
        <f>C11/B11-1</f>
        <v/>
      </c>
      <c r="E11" s="21" t="inlineStr">
        <is>
          <t>역대 최고 수준 유지, 성숙노드 중심</t>
        </is>
      </c>
    </row>
    <row r="12">
      <c r="A12" s="19" t="inlineStr">
        <is>
          <t>대만</t>
        </is>
      </c>
      <c r="B12" s="6" t="n">
        <v>16600</v>
      </c>
      <c r="C12" s="6" t="n">
        <v>31500</v>
      </c>
      <c r="D12" s="20">
        <f>C12/B12-1</f>
        <v/>
      </c>
      <c r="E12" s="21" t="inlineStr">
        <is>
          <t>TSMC 첨단로직 증설로 +90% 급증, 2위</t>
        </is>
      </c>
    </row>
    <row r="13">
      <c r="A13" s="19" t="inlineStr">
        <is>
          <t>한국</t>
        </is>
      </c>
      <c r="B13" s="6" t="n">
        <v>20500</v>
      </c>
      <c r="C13" s="6" t="n">
        <v>25800</v>
      </c>
      <c r="D13" s="20">
        <f>C13/B13-1</f>
        <v/>
      </c>
      <c r="E13" s="21" t="inlineStr">
        <is>
          <t>HBM·DRAM 투자 지속, 3위</t>
        </is>
      </c>
    </row>
    <row r="14">
      <c r="A14" s="19" t="inlineStr">
        <is>
          <t>북미</t>
        </is>
      </c>
      <c r="B14" s="5" t="n"/>
      <c r="C14" s="6" t="n">
        <v>10900</v>
      </c>
      <c r="D14" s="5" t="n"/>
      <c r="E14" s="21" t="inlineStr"/>
    </row>
    <row r="15">
      <c r="A15" s="19" t="inlineStr">
        <is>
          <t>일본</t>
        </is>
      </c>
      <c r="B15" s="5" t="n"/>
      <c r="C15" s="6" t="n">
        <v>9500</v>
      </c>
      <c r="D15" s="5" t="n"/>
      <c r="E15" s="21" t="inlineStr"/>
    </row>
    <row r="16">
      <c r="A16" s="19" t="inlineStr">
        <is>
          <t>유럽</t>
        </is>
      </c>
      <c r="B16" s="5" t="n"/>
      <c r="C16" s="6" t="n">
        <v>2900</v>
      </c>
      <c r="D16" s="5" t="n"/>
      <c r="E16" s="21" t="inlineStr"/>
    </row>
    <row r="17">
      <c r="A17" s="19" t="inlineStr">
        <is>
          <t>기타</t>
        </is>
      </c>
      <c r="B17" s="5" t="n"/>
      <c r="C17" s="6" t="n">
        <v>5200</v>
      </c>
      <c r="D17" s="5" t="n"/>
      <c r="E17" s="21" t="inlineStr"/>
    </row>
    <row r="18">
      <c r="A18" s="4" t="inlineStr">
        <is>
          <t>전 세계 합계</t>
        </is>
      </c>
      <c r="B18" s="6" t="n">
        <v>117100</v>
      </c>
      <c r="C18" s="6" t="n">
        <v>135100</v>
      </c>
      <c r="D18" s="20">
        <f>C18/B18-1</f>
        <v/>
      </c>
      <c r="E18" s="21" t="inlineStr">
        <is>
          <t>사상 최대, 중국·대만·한국이 79% 차지(2024년 74%)</t>
        </is>
      </c>
    </row>
    <row r="19">
      <c r="A19" s="2" t="inlineStr">
        <is>
          <t>출처: SEMI, 'Global Semiconductor Equipment Billings Reached $135 Billion in 2025' (2026.04)</t>
        </is>
      </c>
    </row>
    <row r="20">
      <c r="A20" s="16" t="inlineStr">
        <is>
          <t>https://www.semi.org/en/SEMI-Reports-Global-Semiconductor-Equipment-Billings-Reached-135-Billion-in-2025</t>
        </is>
      </c>
    </row>
    <row r="21">
      <c r="A21" s="2" t="inlineStr">
        <is>
          <t>2024년 실적 출처: SEMI, 'Global Semiconductor Equipment Billings Surged to $117 Billion in 2024' (2025.04)</t>
        </is>
      </c>
    </row>
    <row r="22">
      <c r="A22" s="16" t="inlineStr">
        <is>
          <t>https://www.semi.org/en/semi-press-release/global-semiconductor-equipment-billings-surged-to-117-billion-dollars-in-2024-semi-reports</t>
        </is>
      </c>
    </row>
    <row r="24">
      <c r="A24" s="17" t="inlineStr">
        <is>
          <t>③ SEMI 글로벌 장비 시장 전망 (발표 시점별)</t>
        </is>
      </c>
    </row>
    <row r="25">
      <c r="A25" s="3" t="inlineStr">
        <is>
          <t>발표시점</t>
        </is>
      </c>
      <c r="B25" s="3" t="inlineStr">
        <is>
          <t>2025</t>
        </is>
      </c>
      <c r="C25" s="3" t="inlineStr">
        <is>
          <t>2026F</t>
        </is>
      </c>
      <c r="D25" s="3" t="inlineStr">
        <is>
          <t>2027F</t>
        </is>
      </c>
      <c r="E25" s="3" t="inlineStr">
        <is>
          <t>2028F</t>
        </is>
      </c>
      <c r="F25" s="3" t="inlineStr">
        <is>
          <t>비고</t>
        </is>
      </c>
      <c r="G25" s="3" t="inlineStr">
        <is>
          <t>출처(URL)</t>
        </is>
      </c>
    </row>
    <row r="26">
      <c r="A26" s="4" t="inlineStr">
        <is>
          <t>25.12 (연말 전망)</t>
        </is>
      </c>
      <c r="B26" s="6" t="n">
        <v>133000</v>
      </c>
      <c r="C26" s="6" t="n">
        <v>145000</v>
      </c>
      <c r="D26" s="6" t="n">
        <v>156000</v>
      </c>
      <c r="E26" s="5" t="n"/>
      <c r="F26" s="10" t="inlineStr">
        <is>
          <t>중국·대만·한국이 2027년까지 상위 3대 시장 유지, 한국은 첨단 메모리(HBM) 투자 견인</t>
        </is>
      </c>
      <c r="G26" s="22" t="inlineStr">
        <is>
          <t>https://www.semi.org/en/semi-press-release/global-semiconductor-equipment-sales-projected-to-reach-a-record-of-156-billion-dollars-in-2027-semi-reports</t>
        </is>
      </c>
    </row>
    <row r="27">
      <c r="A27" s="4" t="inlineStr">
        <is>
          <t>26.04 (실적 확정)</t>
        </is>
      </c>
      <c r="B27" s="6" t="n">
        <v>135100</v>
      </c>
      <c r="C27" s="5" t="n"/>
      <c r="D27" s="5" t="n"/>
      <c r="E27" s="5" t="n"/>
      <c r="F27" s="10" t="inlineStr">
        <is>
          <t>2025년 실적 1,351억달러 확정(+15%)</t>
        </is>
      </c>
      <c r="G27" s="22" t="inlineStr">
        <is>
          <t>https://www.semi.org/en/SEMI-Reports-Global-Semiconductor-Equipment-Billings-Reached-135-Billion-in-2025</t>
        </is>
      </c>
    </row>
    <row r="28">
      <c r="A28" s="4" t="inlineStr">
        <is>
          <t>26.07 (연중 전망, OEM 기준)</t>
        </is>
      </c>
      <c r="B28" s="5" t="n"/>
      <c r="C28" s="6" t="n">
        <v>165900</v>
      </c>
      <c r="D28" s="5" t="n"/>
      <c r="E28" s="6" t="n">
        <v>229500</v>
      </c>
      <c r="F28" s="10" t="inlineStr">
        <is>
          <t>AI 투자로 5년 연속 성장. 2028년 2,295억달러 사상 최대. 한국은 2028년까지 상위 3대 시장 유지</t>
        </is>
      </c>
      <c r="G28" s="22" t="inlineStr">
        <is>
          <t>https://www.semi.org/en/semi-press-release/global-semiconductor-equipment-sales-forecast-to-reach-a-record-229-billion-dollars-in-2028-semi-reports</t>
        </is>
      </c>
    </row>
  </sheetData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28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4" customWidth="1" min="4" max="4"/>
    <col width="10" customWidth="1" min="5" max="5"/>
    <col width="13" customWidth="1" min="6" max="6"/>
    <col width="11" customWidth="1" min="7" max="7"/>
    <col width="52" customWidth="1" min="8" max="8"/>
    <col width="62" customWidth="1" min="9" max="9"/>
  </cols>
  <sheetData>
    <row r="1">
      <c r="A1" s="1" t="inlineStr">
        <is>
          <t>글로벌 반도체 장비 시장 및 한국 관련 참고 지표 (단위: 백만달러)</t>
        </is>
      </c>
    </row>
    <row r="2">
      <c r="A2" s="2" t="inlineStr">
        <is>
          <t>한국 단독 수치가 없는 기관 / 한국 인접 시장 자료. 한국 시장 규모 검증용 참고치.</t>
        </is>
      </c>
    </row>
    <row r="4">
      <c r="A4" s="3" t="inlineStr">
        <is>
          <t>기관</t>
        </is>
      </c>
      <c r="B4" s="3" t="inlineStr">
        <is>
          <t>대상</t>
        </is>
      </c>
      <c r="C4" s="3" t="inlineStr">
        <is>
          <t>기준연도 값</t>
        </is>
      </c>
      <c r="D4" s="3" t="inlineStr">
        <is>
          <t>종료연도 값</t>
        </is>
      </c>
      <c r="E4" s="3" t="inlineStr">
        <is>
          <t>CAGR</t>
        </is>
      </c>
      <c r="F4" s="3" t="inlineStr">
        <is>
          <t>전망기간</t>
        </is>
      </c>
      <c r="G4" s="3" t="inlineStr">
        <is>
          <t>발표시점</t>
        </is>
      </c>
      <c r="H4" s="3" t="inlineStr">
        <is>
          <t>비고</t>
        </is>
      </c>
      <c r="I4" s="3" t="inlineStr">
        <is>
          <t>출처(URL)</t>
        </is>
      </c>
    </row>
    <row r="5">
      <c r="A5" s="4" t="inlineStr">
        <is>
          <t>Mordor Intelligence</t>
        </is>
      </c>
      <c r="B5" s="19" t="inlineStr">
        <is>
          <t>글로벌 반도체 장비</t>
        </is>
      </c>
      <c r="C5" s="6" t="n">
        <v>114820</v>
      </c>
      <c r="D5" s="6" t="n">
        <v>162700</v>
      </c>
      <c r="E5" s="23" t="n">
        <v>0.0722</v>
      </c>
      <c r="F5" s="24" t="inlineStr">
        <is>
          <t>2026-2031</t>
        </is>
      </c>
      <c r="G5" s="24" t="inlineStr">
        <is>
          <t>26년</t>
        </is>
      </c>
      <c r="H5" s="10" t="inlineStr">
        <is>
          <t>2026년 1,148.2억달러 → 2031년 1,627.0억달러. 한국 단독 분리 수치 없음</t>
        </is>
      </c>
      <c r="I5" s="22" t="inlineStr">
        <is>
          <t>https://www.mordorintelligence.com/industry-reports/semiconductor-equipment-market</t>
        </is>
      </c>
    </row>
    <row r="6">
      <c r="A6" s="4" t="inlineStr">
        <is>
          <t>Future Market Insights</t>
        </is>
      </c>
      <c r="B6" s="19" t="inlineStr">
        <is>
          <t>글로벌 반도체 제조장비</t>
        </is>
      </c>
      <c r="C6" s="6" t="n">
        <v>121900</v>
      </c>
      <c r="D6" s="6" t="n">
        <v>256000</v>
      </c>
      <c r="E6" s="23" t="n">
        <v>0.077</v>
      </c>
      <c r="F6" s="24" t="inlineStr">
        <is>
          <t>2026-2036</t>
        </is>
      </c>
      <c r="G6" s="24" t="inlineStr">
        <is>
          <t>26년</t>
        </is>
      </c>
      <c r="H6" s="10" t="inlineStr">
        <is>
          <t>글로벌 CAGR 7.7%. 한국은 국가별 최고 수준인 9.8% 제시</t>
        </is>
      </c>
      <c r="I6" s="22" t="inlineStr">
        <is>
          <t>https://www.futuremarketinsights.com/reports/semiconductor-manufacturing-equipment-market</t>
        </is>
      </c>
    </row>
    <row r="7">
      <c r="A7" s="4" t="inlineStr">
        <is>
          <t>SEMI (한국어 발표)</t>
        </is>
      </c>
      <c r="B7" s="19" t="inlineStr">
        <is>
          <t>글로벌 반도체 장비</t>
        </is>
      </c>
      <c r="C7" s="5" t="n"/>
      <c r="D7" s="6" t="n">
        <v>139000</v>
      </c>
      <c r="E7" s="5" t="n"/>
      <c r="F7" s="24" t="inlineStr">
        <is>
          <t>2026</t>
        </is>
      </c>
      <c r="G7" s="24" t="inlineStr">
        <is>
          <t>25년</t>
        </is>
      </c>
      <c r="H7" s="10" t="inlineStr">
        <is>
          <t>2025년 1,210억달러 → 2026년 1,390억달러 전망(발표 당시 기준)</t>
        </is>
      </c>
      <c r="I7" s="22" t="inlineStr">
        <is>
          <t>https://www.semi.org/ko/node/156646</t>
        </is>
      </c>
    </row>
    <row r="8">
      <c r="A8" s="4" t="inlineStr">
        <is>
          <t>Counterpoint Research</t>
        </is>
      </c>
      <c r="B8" s="19" t="inlineStr">
        <is>
          <t>글로벌 반도체 제조장비</t>
        </is>
      </c>
      <c r="C8" s="5" t="n"/>
      <c r="D8" s="6" t="n">
        <v>143000</v>
      </c>
      <c r="E8" s="23" t="n">
        <v>0.12</v>
      </c>
      <c r="F8" s="24" t="inlineStr">
        <is>
          <t>2026</t>
        </is>
      </c>
      <c r="G8" s="24" t="inlineStr">
        <is>
          <t>26년</t>
        </is>
      </c>
      <c r="H8" s="10" t="inlineStr">
        <is>
          <t>2026년 전년 대비 +12%, 총매출 1,430억달러 전망. 한국을 핵심 수혜국으로 지목</t>
        </is>
      </c>
      <c r="I8" s="22" t="inlineStr">
        <is>
          <t>https://www.spaceinews.com/news/915378</t>
        </is>
      </c>
    </row>
    <row r="9">
      <c r="A9" s="4" t="inlineStr">
        <is>
          <t>Ken Research</t>
        </is>
      </c>
      <c r="B9" s="19" t="inlineStr">
        <is>
          <t>한국 반도체 장비 서비스</t>
        </is>
      </c>
      <c r="C9" s="6" t="n">
        <v>2900</v>
      </c>
      <c r="D9" s="5" t="n"/>
      <c r="E9" s="5" t="n"/>
      <c r="F9" s="24" t="inlineStr">
        <is>
          <t>-</t>
        </is>
      </c>
      <c r="G9" s="24" t="inlineStr">
        <is>
          <t>미상</t>
        </is>
      </c>
      <c r="H9" s="10" t="inlineStr">
        <is>
          <t>장비 본체가 아닌 '장비 서비스(유지보수·부품)' 시장 29억달러</t>
        </is>
      </c>
      <c r="I9" s="22" t="inlineStr">
        <is>
          <t>https://www.kenresearch.com/south-korea-semiconductor-equipment-services-market</t>
        </is>
      </c>
    </row>
    <row r="10">
      <c r="A10" s="4" t="inlineStr">
        <is>
          <t>Bonafide Research</t>
        </is>
      </c>
      <c r="B10" s="19" t="inlineStr">
        <is>
          <t>한국 반도체(소자) 시장</t>
        </is>
      </c>
      <c r="C10" s="5" t="n"/>
      <c r="D10" s="5" t="n"/>
      <c r="E10" s="23" t="n">
        <v>0.1027</v>
      </c>
      <c r="F10" s="24" t="inlineStr">
        <is>
          <t>2026-2031</t>
        </is>
      </c>
      <c r="G10" s="24" t="inlineStr">
        <is>
          <t>26년</t>
        </is>
      </c>
      <c r="H10" s="10" t="inlineStr">
        <is>
          <t>장비가 아닌 반도체 소자 시장. 전방 수요 성장률 참고용</t>
        </is>
      </c>
      <c r="I10" s="22" t="inlineStr">
        <is>
          <t>https://www.bonafideresearch.com/product/6401099916/south-korea-semiconductor-market</t>
        </is>
      </c>
    </row>
    <row r="11">
      <c r="A11" s="4" t="inlineStr">
        <is>
          <t>Spherical Insights</t>
        </is>
      </c>
      <c r="B11" s="19" t="inlineStr">
        <is>
          <t>한국 리소그래피 장비</t>
        </is>
      </c>
      <c r="C11" s="5" t="n"/>
      <c r="D11" s="5" t="n"/>
      <c r="E11" s="23" t="n">
        <v>0.059</v>
      </c>
      <c r="F11" s="24" t="inlineStr">
        <is>
          <t>2023-2033</t>
        </is>
      </c>
      <c r="G11" s="24" t="inlineStr">
        <is>
          <t>미상</t>
        </is>
      </c>
      <c r="H11" s="10" t="inlineStr">
        <is>
          <t>한국 장비 세부 세그먼트(노광) 성장률</t>
        </is>
      </c>
      <c r="I11" s="22" t="inlineStr">
        <is>
          <t>https://www.sphericalinsights.com/reports/south-korea-lithography-equipment-market</t>
        </is>
      </c>
    </row>
    <row r="12">
      <c r="A12" s="4" t="inlineStr">
        <is>
          <t>Straits Research</t>
        </is>
      </c>
      <c r="B12" s="19" t="inlineStr">
        <is>
          <t>아시아태평양 반도체 제조장비</t>
        </is>
      </c>
      <c r="C12" s="5" t="n"/>
      <c r="D12" s="5" t="n"/>
      <c r="E12" s="5" t="n"/>
      <c r="F12" s="24" t="inlineStr">
        <is>
          <t>2025-2033</t>
        </is>
      </c>
      <c r="G12" s="24" t="inlineStr">
        <is>
          <t>25년</t>
        </is>
      </c>
      <c r="H12" s="10" t="inlineStr">
        <is>
          <t>한국 상위 지역 리포트. 지역 내 한국 비중 확인용</t>
        </is>
      </c>
      <c r="I12" s="22" t="inlineStr">
        <is>
          <t>https://straitsresearch.com/report/semiconductor-manufacturing-equipment-market/asia-pacific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62" customWidth="1" min="3" max="3"/>
    <col width="62" customWidth="1" min="4" max="4"/>
    <col width="11" customWidth="1" min="5" max="5"/>
    <col width="70" customWidth="1" min="6" max="6"/>
  </cols>
  <sheetData>
    <row r="1">
      <c r="A1" s="1" t="inlineStr">
        <is>
          <t>출처 목록 (조사일 : 2026-08-20)</t>
        </is>
      </c>
    </row>
    <row r="2">
      <c r="A2" s="2" t="inlineStr">
        <is>
          <t>※ 조사기관 웹페이지는 요약 페이지 기준. 연도별 시계열 전체는 유료 리포트에만 포함되며, 본 취합표의 중간연도는 보간값임.</t>
        </is>
      </c>
    </row>
    <row r="4">
      <c r="A4" s="3" t="inlineStr">
        <is>
          <t>구분</t>
        </is>
      </c>
      <c r="B4" s="3" t="inlineStr">
        <is>
          <t>기관</t>
        </is>
      </c>
      <c r="C4" s="3" t="inlineStr">
        <is>
          <t>리포트/기사명</t>
        </is>
      </c>
      <c r="D4" s="3" t="inlineStr">
        <is>
          <t>핵심 수치</t>
        </is>
      </c>
      <c r="E4" s="3" t="inlineStr">
        <is>
          <t>발표시점</t>
        </is>
      </c>
      <c r="F4" s="3" t="inlineStr">
        <is>
          <t>URL</t>
        </is>
      </c>
    </row>
    <row r="5">
      <c r="A5" s="25" t="inlineStr">
        <is>
          <t>한국 장비 시장(기관)</t>
        </is>
      </c>
      <c r="B5" s="21" t="inlineStr">
        <is>
          <t>Grand View Research</t>
        </is>
      </c>
      <c r="C5" s="21" t="inlineStr">
        <is>
          <t>South Korea Semiconductor Manufacturing Equipment Market Size &amp; Outlook, 2033</t>
        </is>
      </c>
      <c r="D5" s="10" t="inlineStr">
        <is>
          <t>2025년 147.97억달러 → 2033년 287.01억달러, CAGR 8.7%(2026-2033), 글로벌 비중 12.4%</t>
        </is>
      </c>
      <c r="E5" s="24" t="inlineStr">
        <is>
          <t>26년</t>
        </is>
      </c>
      <c r="F5" s="22" t="inlineStr">
        <is>
          <t>https://www.grandviewresearch.com/horizon/outlook/semiconductor-manufacturing-equipment-market/south-korea</t>
        </is>
      </c>
    </row>
    <row r="6">
      <c r="A6" s="25" t="inlineStr">
        <is>
          <t>한국 장비 시장(기관)</t>
        </is>
      </c>
      <c r="B6" s="21" t="inlineStr">
        <is>
          <t>Spherical Insights</t>
        </is>
      </c>
      <c r="C6" s="21" t="inlineStr">
        <is>
          <t>South Korea Semiconductor Manufacturing Equipment Market</t>
        </is>
      </c>
      <c r="D6" s="10" t="inlineStr">
        <is>
          <t>2024년 124.98억달러 → 2035년 298.79억달러, CAGR 8.25%(2025-2035)</t>
        </is>
      </c>
      <c r="E6" s="24" t="inlineStr">
        <is>
          <t>25~26년</t>
        </is>
      </c>
      <c r="F6" s="22" t="inlineStr">
        <is>
          <t>https://www.sphericalinsights.com/reports/south-korea-semiconductor-manufacturing-equipment-market</t>
        </is>
      </c>
    </row>
    <row r="7">
      <c r="A7" s="25" t="inlineStr">
        <is>
          <t>한국 장비 시장(기관)</t>
        </is>
      </c>
      <c r="B7" s="21" t="inlineStr">
        <is>
          <t>Market Research Future</t>
        </is>
      </c>
      <c r="C7" s="21" t="inlineStr">
        <is>
          <t>South Korea Semiconductor Production Equipment Market, Report 49157</t>
        </is>
      </c>
      <c r="D7" s="10" t="inlineStr">
        <is>
          <t>2024년 96.3억달러 → 2025년 105.3억달러 → 2035년 240억달러, CAGR 7.779%</t>
        </is>
      </c>
      <c r="E7" s="24" t="inlineStr">
        <is>
          <t>25~26년</t>
        </is>
      </c>
      <c r="F7" s="22" t="inlineStr">
        <is>
          <t>https://www.marketresearchfuture.com/reports/south-korea-semiconductor-production-equipment-market-49157</t>
        </is>
      </c>
    </row>
    <row r="8">
      <c r="A8" s="25" t="inlineStr">
        <is>
          <t>한국 장비 시장(기관)</t>
        </is>
      </c>
      <c r="B8" s="21" t="inlineStr">
        <is>
          <t>IMARC Group</t>
        </is>
      </c>
      <c r="C8" s="21" t="inlineStr">
        <is>
          <t>South Korea Semiconductor Manufacturing Equipment Market</t>
        </is>
      </c>
      <c r="D8" s="10" t="inlineStr">
        <is>
          <t>2025년 22억달러 → 2034년 51억달러, CAGR 9.31%(2026-2034)</t>
        </is>
      </c>
      <c r="E8" s="24" t="inlineStr">
        <is>
          <t>26년</t>
        </is>
      </c>
      <c r="F8" s="22" t="inlineStr">
        <is>
          <t>https://www.imarcgroup.com/south-korea-semiconductor-manufacturing-equipment-market</t>
        </is>
      </c>
    </row>
    <row r="9">
      <c r="A9" s="25" t="inlineStr">
        <is>
          <t>한국 장비 시장(기관)</t>
        </is>
      </c>
      <c r="B9" s="21" t="inlineStr">
        <is>
          <t>Straits Research</t>
        </is>
      </c>
      <c r="C9" s="21" t="inlineStr">
        <is>
          <t>South Korea Semiconductor Manufacturing Equipment Market, Forecast by 2033</t>
        </is>
      </c>
      <c r="D9" s="10" t="inlineStr">
        <is>
          <t>2024년 28.83억달러 → 2025년 30.00억달러 → 2033년 40.72억달러, CAGR 3.3%</t>
        </is>
      </c>
      <c r="E9" s="24" t="inlineStr">
        <is>
          <t>25년</t>
        </is>
      </c>
      <c r="F9" s="22" t="inlineStr">
        <is>
          <t>https://straitsresearch.com/report/semiconductor-manufacturing-equipment-market/south-korea</t>
        </is>
      </c>
    </row>
    <row r="10">
      <c r="A10" s="25" t="inlineStr">
        <is>
          <t>한국 장비 시장(기관)</t>
        </is>
      </c>
      <c r="B10" s="21" t="inlineStr">
        <is>
          <t>Future Market Insights</t>
        </is>
      </c>
      <c r="C10" s="21" t="inlineStr">
        <is>
          <t>Semiconductor Manufacturing Equipment Market (2026-2036)</t>
        </is>
      </c>
      <c r="D10" s="10" t="inlineStr">
        <is>
          <t>한국 CAGR 9.8%(2026-2036), 국가 중 최고 수준 / 글로벌 1,219억달러(2026) → 2,560억달러(2036)</t>
        </is>
      </c>
      <c r="E10" s="24" t="inlineStr">
        <is>
          <t>26년</t>
        </is>
      </c>
      <c r="F10" s="22" t="inlineStr">
        <is>
          <t>https://www.futuremarketinsights.com/reports/semiconductor-manufacturing-equipment-market</t>
        </is>
      </c>
    </row>
    <row r="11">
      <c r="A11" s="25" t="inlineStr">
        <is>
          <t>실적(공식 통계)</t>
        </is>
      </c>
      <c r="B11" s="21" t="inlineStr">
        <is>
          <t>SEMI</t>
        </is>
      </c>
      <c r="C11" s="21" t="inlineStr">
        <is>
          <t>Global Semiconductor Equipment Billings Reached $135 Billion in 2025 (WWSEMS)</t>
        </is>
      </c>
      <c r="D11" s="10" t="inlineStr">
        <is>
          <t>한국 258억달러(+26%, 3위), 글로벌 1,351억달러(+15%), 중·대·한 합계 79%</t>
        </is>
      </c>
      <c r="E11" s="24" t="inlineStr">
        <is>
          <t>26.04</t>
        </is>
      </c>
      <c r="F11" s="22" t="inlineStr">
        <is>
          <t>https://www.semi.org/en/SEMI-Reports-Global-Semiconductor-Equipment-Billings-Reached-135-Billion-in-2025</t>
        </is>
      </c>
    </row>
    <row r="12">
      <c r="A12" s="25" t="inlineStr">
        <is>
          <t>실적(공식 통계)</t>
        </is>
      </c>
      <c r="B12" s="21" t="inlineStr">
        <is>
          <t>SEMI</t>
        </is>
      </c>
      <c r="C12" s="21" t="inlineStr">
        <is>
          <t>Global Semiconductor Equipment Billings Surged to $117 Billion in 2024</t>
        </is>
      </c>
      <c r="D12" s="10" t="inlineStr">
        <is>
          <t>한국 205억달러(+3%, 2위), 글로벌 1,171억달러(+10%)</t>
        </is>
      </c>
      <c r="E12" s="24" t="inlineStr">
        <is>
          <t>25.04</t>
        </is>
      </c>
      <c r="F12" s="22" t="inlineStr">
        <is>
          <t>https://www.semi.org/en/semi-press-release/global-semiconductor-equipment-billings-surged-to-117-billion-dollars-in-2024-semi-reports</t>
        </is>
      </c>
    </row>
    <row r="13">
      <c r="A13" s="25" t="inlineStr">
        <is>
          <t>전망(공식 통계)</t>
        </is>
      </c>
      <c r="B13" s="21" t="inlineStr">
        <is>
          <t>SEMI</t>
        </is>
      </c>
      <c r="C13" s="21" t="inlineStr">
        <is>
          <t>Global Semiconductor Equipment Sales Projected to Reach $156 Billion in 2027</t>
        </is>
      </c>
      <c r="D13" s="10" t="inlineStr">
        <is>
          <t>2025년 1,330억 → 2026년 1,450억 → 2027년 1,560억달러. 한국 3위 유지</t>
        </is>
      </c>
      <c r="E13" s="24" t="inlineStr">
        <is>
          <t>25.12</t>
        </is>
      </c>
      <c r="F13" s="22" t="inlineStr">
        <is>
          <t>https://www.semi.org/en/semi-press-release/global-semiconductor-equipment-sales-projected-to-reach-a-record-of-156-billion-dollars-in-2027-semi-reports</t>
        </is>
      </c>
    </row>
    <row r="14">
      <c r="A14" s="25" t="inlineStr">
        <is>
          <t>전망(공식 통계)</t>
        </is>
      </c>
      <c r="B14" s="21" t="inlineStr">
        <is>
          <t>SEMI</t>
        </is>
      </c>
      <c r="C14" s="21" t="inlineStr">
        <is>
          <t>Global Semiconductor Equipment Sales Forecast to Reach a Record $229 Billion in 2028</t>
        </is>
      </c>
      <c r="D14" s="10" t="inlineStr">
        <is>
          <t>2026년 1,659억달러(OEM 기준) → 2028년 2,295억달러. 한국 상위 3대 시장 유지</t>
        </is>
      </c>
      <c r="E14" s="24" t="inlineStr">
        <is>
          <t>26.07</t>
        </is>
      </c>
      <c r="F14" s="22" t="inlineStr">
        <is>
          <t>https://www.semi.org/en/semi-press-release/global-semiconductor-equipment-sales-forecast-to-reach-a-record-229-billion-dollars-in-2028-semi-reports</t>
        </is>
      </c>
    </row>
    <row r="15">
      <c r="A15" s="25" t="inlineStr">
        <is>
          <t>한국 투자 전망</t>
        </is>
      </c>
      <c r="B15" s="21" t="inlineStr">
        <is>
          <t>DIGITIMES (SEMI 전망 인용)</t>
        </is>
      </c>
      <c r="C15" s="21" t="inlineStr">
        <is>
          <t>South Korea expected to reclaim no.2 in global chip equipment spending by 2026</t>
        </is>
      </c>
      <c r="D15" s="10" t="inlineStr">
        <is>
          <t>한국 2026년 296.6억달러(+27.2%), 중국 392.5억달러로 1위 유지</t>
        </is>
      </c>
      <c r="E15" s="24" t="inlineStr">
        <is>
          <t>25.12.29</t>
        </is>
      </c>
      <c r="F15" s="22" t="inlineStr">
        <is>
          <t>https://www.digitimes.com/news/a20251229PD209/south-korea-chips-equipment-investment-dram-2026.html</t>
        </is>
      </c>
    </row>
    <row r="16">
      <c r="A16" s="25" t="inlineStr">
        <is>
          <t>글로벌 참고</t>
        </is>
      </c>
      <c r="B16" s="21" t="inlineStr">
        <is>
          <t>Mordor Intelligence</t>
        </is>
      </c>
      <c r="C16" s="21" t="inlineStr">
        <is>
          <t>Semiconductor Equipment Market Size, Share &amp; Forecast Report 2031</t>
        </is>
      </c>
      <c r="D16" s="10" t="inlineStr">
        <is>
          <t>2026년 1,148.2억달러 → 2031년 1,627.0억달러, CAGR 7.22%</t>
        </is>
      </c>
      <c r="E16" s="24" t="inlineStr">
        <is>
          <t>26년</t>
        </is>
      </c>
      <c r="F16" s="22" t="inlineStr">
        <is>
          <t>https://www.mordorintelligence.com/industry-reports/semiconductor-equipment-market</t>
        </is>
      </c>
    </row>
    <row r="17">
      <c r="A17" s="25" t="inlineStr">
        <is>
          <t>글로벌 참고</t>
        </is>
      </c>
      <c r="B17" s="21" t="inlineStr">
        <is>
          <t>SEMI (한국어)</t>
        </is>
      </c>
      <c r="C17" s="21" t="inlineStr">
        <is>
          <t>2026년 전 세계 반도체 장비 시장 규모 1,390억 달러 도달할 것</t>
        </is>
      </c>
      <c r="D17" s="10" t="inlineStr">
        <is>
          <t>2025년 1,210억 → 2026년 1,390억달러, 한·중·대만 최대 투자국 유지</t>
        </is>
      </c>
      <c r="E17" s="24" t="inlineStr">
        <is>
          <t>25년</t>
        </is>
      </c>
      <c r="F17" s="22" t="inlineStr">
        <is>
          <t>https://www.semi.org/ko/node/156646</t>
        </is>
      </c>
    </row>
    <row r="18">
      <c r="A18" s="25" t="inlineStr">
        <is>
          <t>글로벌 참고</t>
        </is>
      </c>
      <c r="B18" s="21" t="inlineStr">
        <is>
          <t>Counterpoint Research (기사 인용)</t>
        </is>
      </c>
      <c r="C18" s="21" t="inlineStr">
        <is>
          <t>2026년 반도체 장비 시장 12% 성장 전망</t>
        </is>
      </c>
      <c r="D18" s="10" t="inlineStr">
        <is>
          <t>2026년 1,430억달러(+12%), 한국 핵심 수혜국</t>
        </is>
      </c>
      <c r="E18" s="24" t="inlineStr">
        <is>
          <t>26년</t>
        </is>
      </c>
      <c r="F18" s="22" t="inlineStr">
        <is>
          <t>https://www.spaceinews.com/news/915378</t>
        </is>
      </c>
    </row>
    <row r="19">
      <c r="A19" s="25" t="inlineStr">
        <is>
          <t>한국 인접 시장</t>
        </is>
      </c>
      <c r="B19" s="21" t="inlineStr">
        <is>
          <t>Ken Research</t>
        </is>
      </c>
      <c r="C19" s="21" t="inlineStr">
        <is>
          <t>South Korea Semiconductor Equipment Services Market</t>
        </is>
      </c>
      <c r="D19" s="10" t="inlineStr">
        <is>
          <t>한국 반도체 장비 서비스 시장 29억달러</t>
        </is>
      </c>
      <c r="E19" s="24" t="inlineStr">
        <is>
          <t>미상</t>
        </is>
      </c>
      <c r="F19" s="22" t="inlineStr">
        <is>
          <t>https://www.kenresearch.com/south-korea-semiconductor-equipment-services-market</t>
        </is>
      </c>
    </row>
    <row r="20">
      <c r="A20" s="25" t="inlineStr">
        <is>
          <t>한국 인접 시장</t>
        </is>
      </c>
      <c r="B20" s="21" t="inlineStr">
        <is>
          <t>Spherical Insights</t>
        </is>
      </c>
      <c r="C20" s="21" t="inlineStr">
        <is>
          <t>South Korea Lithography Equipment Market</t>
        </is>
      </c>
      <c r="D20" s="10" t="inlineStr">
        <is>
          <t>한국 노광장비 CAGR 5.9%(2023-2033)</t>
        </is>
      </c>
      <c r="E20" s="24" t="inlineStr">
        <is>
          <t>미상</t>
        </is>
      </c>
      <c r="F20" s="22" t="inlineStr">
        <is>
          <t>https://www.sphericalinsights.com/reports/south-korea-lithography-equipment-market</t>
        </is>
      </c>
    </row>
    <row r="21">
      <c r="A21" s="25" t="inlineStr">
        <is>
          <t>한국 인접 시장</t>
        </is>
      </c>
      <c r="B21" s="21" t="inlineStr">
        <is>
          <t>Bonafide Research</t>
        </is>
      </c>
      <c r="C21" s="21" t="inlineStr">
        <is>
          <t>South Korea Semiconductor Market Overview, 2031</t>
        </is>
      </c>
      <c r="D21" s="10" t="inlineStr">
        <is>
          <t>한국 반도체(소자) 시장 CAGR 10.27%(2026-2031)</t>
        </is>
      </c>
      <c r="E21" s="24" t="inlineStr">
        <is>
          <t>26년</t>
        </is>
      </c>
      <c r="F21" s="22" t="inlineStr">
        <is>
          <t>https://www.bonafideresearch.com/product/6401099916/south-korea-semiconductor-market</t>
        </is>
      </c>
    </row>
    <row r="22">
      <c r="A22" s="25" t="inlineStr">
        <is>
          <t>한국 인접 시장</t>
        </is>
      </c>
      <c r="B22" s="21" t="inlineStr">
        <is>
          <t>Transpire Insight</t>
        </is>
      </c>
      <c r="C22" s="21" t="inlineStr">
        <is>
          <t>South Korea AMHS for Semiconductor Market</t>
        </is>
      </c>
      <c r="D22" s="10" t="inlineStr">
        <is>
          <t>한국 반도체 자동물류(AMHS) 시장, 2033년까지 전망</t>
        </is>
      </c>
      <c r="E22" s="24" t="inlineStr">
        <is>
          <t>미상</t>
        </is>
      </c>
      <c r="F22" s="22" t="inlineStr">
        <is>
          <t>https://www.transpireinsight.com/report/south-korea-amhs-for-semiconductor-market</t>
        </is>
      </c>
    </row>
    <row r="23">
      <c r="A23" s="25" t="inlineStr">
        <is>
          <t>국내 기사</t>
        </is>
      </c>
      <c r="B23" s="21" t="inlineStr">
        <is>
          <t>테크월드 / 이코노믹리뷰</t>
        </is>
      </c>
      <c r="C23" s="21" t="inlineStr">
        <is>
          <t>2025년 반도체 장비 시장 15%↑ 한·중·대만이 견인</t>
        </is>
      </c>
      <c r="D23" s="10" t="inlineStr">
        <is>
          <t>한국 258억달러(+26%) 국문 확인 기사</t>
        </is>
      </c>
      <c r="E23" s="24" t="inlineStr">
        <is>
          <t>26.04</t>
        </is>
      </c>
      <c r="F23" s="22" t="inlineStr">
        <is>
          <t>https://www.epnc.co.kr/news/articleView.html?idxno=400190</t>
        </is>
      </c>
    </row>
    <row r="25">
      <c r="A25" s="26" t="inlineStr">
        <is>
          <t>확인 필요 항목</t>
        </is>
      </c>
    </row>
    <row r="26">
      <c r="A26" s="2" t="inlineStr">
        <is>
          <t>· Future Market Insights의 한국 2026년 규모 'US$18.50 Billion'이 검색 스니펫에 나타났으나 원문 페이지 직접 확인 불가(본 환경에서 해당 도메인 직접 접속 차단). 표에는 미반영.</t>
        </is>
      </c>
    </row>
    <row r="27">
      <c r="A27" s="2" t="inlineStr">
        <is>
          <t>· MRFR 페이지는 단위를 'USD Million'으로 표기하나 세그먼트 수치 정합상 Billion 오기로 판단해 환산 반영.</t>
        </is>
      </c>
    </row>
    <row r="28">
      <c r="A28" s="2" t="inlineStr">
        <is>
          <t>· Grand View Research / Spherical Insights / IMARC의 정확한 발표 월(月)은 페이지에 미표기. 전망 시작연도로 추정 표기.</t>
        </is>
      </c>
    </row>
    <row r="29">
      <c r="A29" s="2" t="inlineStr">
        <is>
          <t>· Straits Research·MRFR은 발표 CAGR과 자사 앵커값 간 정합성이 맞지 않음(표의 '내재 CAGR' 열로 비교 가능).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2026-08-20T10:18:00Z</dcterms:created>
  <dcterms:modified xsi:type="dcterms:W3CDTF">2026-08-20T22:08:36Z</dcterms:modified>
</cp:coreProperties>
</file>