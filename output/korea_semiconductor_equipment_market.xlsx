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관별_시장전망" sheetId="1" state="visible" r:id="rId1"/>
    <sheet name="SEMI_실적" sheetId="2" state="visible" r:id="rId2"/>
    <sheet name="글로벌_참고" sheetId="3" state="visible" r:id="rId3"/>
    <sheet name="출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sz val="9"/>
    </font>
    <font>
      <name val="Arial"/>
      <color rgb="000563C1"/>
      <sz val="9"/>
      <u val="single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7" fillId="0" borderId="1" applyAlignment="1" pivotButton="0" quotePrefix="0" xfId="0">
      <alignment horizontal="center" vertical="center"/>
    </xf>
    <xf numFmtId="165" fontId="6" fillId="0" borderId="1" pivotButton="0" quotePrefix="0" xfId="0"/>
    <xf numFmtId="0" fontId="7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0" fontId="4" fillId="3" borderId="0" pivotButton="0" quotePrefix="0" xfId="0"/>
    <xf numFmtId="164" fontId="5" fillId="3" borderId="1" pivotButton="0" quotePrefix="0" xfId="0"/>
    <xf numFmtId="0" fontId="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8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0" fontId="6" fillId="0" borderId="1" pivotButton="0" quotePrefix="0" xfId="0"/>
    <xf numFmtId="165" fontId="0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165" fontId="5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randviewresearch.com/horizon/outlook/semiconductor-manufacturing-equipment-market/south-korea" TargetMode="External" Id="rId1" /><Relationship Type="http://schemas.openxmlformats.org/officeDocument/2006/relationships/hyperlink" Target="https://www.sphericalinsights.com/reports/south-korea-semiconductor-manufacturing-equipment-market" TargetMode="External" Id="rId2" /><Relationship Type="http://schemas.openxmlformats.org/officeDocument/2006/relationships/hyperlink" Target="https://www.marketresearchfuture.com/reports/south-korea-semiconductor-production-equipment-market-49157" TargetMode="External" Id="rId3" /><Relationship Type="http://schemas.openxmlformats.org/officeDocument/2006/relationships/hyperlink" Target="https://www.imarcgroup.com/south-korea-semiconductor-manufacturing-equipment-market" TargetMode="External" Id="rId4" /><Relationship Type="http://schemas.openxmlformats.org/officeDocument/2006/relationships/hyperlink" Target="https://straitsresearch.com/report/semiconductor-manufacturing-equipment-market/south-korea" TargetMode="External" Id="rId5" /><Relationship Type="http://schemas.openxmlformats.org/officeDocument/2006/relationships/hyperlink" Target="https://www.futuremarketinsights.com/reports/semiconductor-manufacturing-equipment-market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mi.org/en/semi-press-release/global-semiconductor-equipment-sales-projected-to-reach-a-record-of-156-billion-dollars-in-2027-semi-reports" TargetMode="External" Id="rId1" /><Relationship Type="http://schemas.openxmlformats.org/officeDocument/2006/relationships/hyperlink" Target="https://www.semi.org/en/SEMI-Reports-Global-Semiconductor-Equipment-Billings-Reached-135-Billion-in-2025" TargetMode="External" Id="rId2" /><Relationship Type="http://schemas.openxmlformats.org/officeDocument/2006/relationships/hyperlink" Target="https://www.semi.org/en/semi-press-release/global-semiconductor-equipment-sales-forecast-to-reach-a-record-229-billion-dollars-in-2028-semi-reports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rdorintelligence.com/industry-reports/semiconductor-equipment-market" TargetMode="External" Id="rId1" /><Relationship Type="http://schemas.openxmlformats.org/officeDocument/2006/relationships/hyperlink" Target="https://www.futuremarketinsights.com/reports/semiconductor-manufacturing-equipment-market" TargetMode="External" Id="rId2" /><Relationship Type="http://schemas.openxmlformats.org/officeDocument/2006/relationships/hyperlink" Target="https://www.semi.org/ko/node/156646" TargetMode="External" Id="rId3" /><Relationship Type="http://schemas.openxmlformats.org/officeDocument/2006/relationships/hyperlink" Target="https://www.spaceinews.com/news/915378" TargetMode="External" Id="rId4" /><Relationship Type="http://schemas.openxmlformats.org/officeDocument/2006/relationships/hyperlink" Target="https://www.kenresearch.com/south-korea-semiconductor-equipment-services-market" TargetMode="External" Id="rId5" /><Relationship Type="http://schemas.openxmlformats.org/officeDocument/2006/relationships/hyperlink" Target="https://www.bonafideresearch.com/product/6401099916/south-korea-semiconductor-market" TargetMode="External" Id="rId6" /><Relationship Type="http://schemas.openxmlformats.org/officeDocument/2006/relationships/hyperlink" Target="https://www.sphericalinsights.com/reports/south-korea-lithography-equipment-market" TargetMode="External" Id="rId7" /><Relationship Type="http://schemas.openxmlformats.org/officeDocument/2006/relationships/hyperlink" Target="https://straitsresearch.com/report/semiconductor-manufacturing-equipment-market/asia-pacific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randviewresearch.com/horizon/outlook/semiconductor-manufacturing-equipment-market/south-korea" TargetMode="External" Id="rId1" /><Relationship Type="http://schemas.openxmlformats.org/officeDocument/2006/relationships/hyperlink" Target="https://www.sphericalinsights.com/reports/south-korea-semiconductor-manufacturing-equipment-market" TargetMode="External" Id="rId2" /><Relationship Type="http://schemas.openxmlformats.org/officeDocument/2006/relationships/hyperlink" Target="https://www.marketresearchfuture.com/reports/south-korea-semiconductor-production-equipment-market-49157" TargetMode="External" Id="rId3" /><Relationship Type="http://schemas.openxmlformats.org/officeDocument/2006/relationships/hyperlink" Target="https://www.imarcgroup.com/south-korea-semiconductor-manufacturing-equipment-market" TargetMode="External" Id="rId4" /><Relationship Type="http://schemas.openxmlformats.org/officeDocument/2006/relationships/hyperlink" Target="https://straitsresearch.com/report/semiconductor-manufacturing-equipment-market/south-korea" TargetMode="External" Id="rId5" /><Relationship Type="http://schemas.openxmlformats.org/officeDocument/2006/relationships/hyperlink" Target="https://www.futuremarketinsights.com/reports/semiconductor-manufacturing-equipment-market" TargetMode="External" Id="rId6" /><Relationship Type="http://schemas.openxmlformats.org/officeDocument/2006/relationships/hyperlink" Target="https://www.semi.org/en/SEMI-Reports-Global-Semiconductor-Equipment-Billings-Reached-135-Billion-in-2025" TargetMode="External" Id="rId7" /><Relationship Type="http://schemas.openxmlformats.org/officeDocument/2006/relationships/hyperlink" Target="https://www.semi.org/en/semi-press-release/global-semiconductor-equipment-billings-surged-to-117-billion-dollars-in-2024-semi-reports" TargetMode="External" Id="rId8" /><Relationship Type="http://schemas.openxmlformats.org/officeDocument/2006/relationships/hyperlink" Target="https://www.semi.org/en/semi-press-release/global-semiconductor-equipment-sales-projected-to-reach-a-record-of-156-billion-dollars-in-2027-semi-reports" TargetMode="External" Id="rId9" /><Relationship Type="http://schemas.openxmlformats.org/officeDocument/2006/relationships/hyperlink" Target="https://www.semi.org/en/semi-press-release/global-semiconductor-equipment-sales-forecast-to-reach-a-record-229-billion-dollars-in-2028-semi-reports" TargetMode="External" Id="rId10" /><Relationship Type="http://schemas.openxmlformats.org/officeDocument/2006/relationships/hyperlink" Target="https://www.digitimes.com/news/a20251229PD209/south-korea-chips-equipment-investment-dram-2026.html" TargetMode="External" Id="rId11" /><Relationship Type="http://schemas.openxmlformats.org/officeDocument/2006/relationships/hyperlink" Target="https://www.mordorintelligence.com/industry-reports/semiconductor-equipment-market" TargetMode="External" Id="rId12" /><Relationship Type="http://schemas.openxmlformats.org/officeDocument/2006/relationships/hyperlink" Target="https://www.semi.org/ko/node/156646" TargetMode="External" Id="rId13" /><Relationship Type="http://schemas.openxmlformats.org/officeDocument/2006/relationships/hyperlink" Target="https://www.spaceinews.com/news/915378" TargetMode="External" Id="rId14" /><Relationship Type="http://schemas.openxmlformats.org/officeDocument/2006/relationships/hyperlink" Target="https://www.kenresearch.com/south-korea-semiconductor-equipment-services-market" TargetMode="External" Id="rId15" /><Relationship Type="http://schemas.openxmlformats.org/officeDocument/2006/relationships/hyperlink" Target="https://www.sphericalinsights.com/reports/south-korea-lithography-equipment-market" TargetMode="External" Id="rId16" /><Relationship Type="http://schemas.openxmlformats.org/officeDocument/2006/relationships/hyperlink" Target="https://www.bonafideresearch.com/product/6401099916/south-korea-semiconductor-market" TargetMode="External" Id="rId17" /><Relationship Type="http://schemas.openxmlformats.org/officeDocument/2006/relationships/hyperlink" Target="https://www.transpireinsight.com/report/south-korea-amhs-for-semiconductor-market" TargetMode="External" Id="rId18" /><Relationship Type="http://schemas.openxmlformats.org/officeDocument/2006/relationships/hyperlink" Target="https://www.epnc.co.kr/news/articleView.html?idxno=400190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  <col width="20" customWidth="1" min="17" max="17"/>
    <col width="58" customWidth="1" min="18" max="18"/>
    <col width="62" customWidth="1" min="19" max="19"/>
  </cols>
  <sheetData>
    <row r="1">
      <c r="A1" s="1" t="inlineStr">
        <is>
          <t>한국 반도체 장비(반도체 제조장비) 시장 규모 - 시장조사기관별 취합</t>
        </is>
      </c>
    </row>
    <row r="2">
      <c r="A2" s="2" t="inlineStr">
        <is>
          <t>단위 : 백만달러(USD mn)  |  파란색 = 기관 원문 발표 수치, 검은색 = 원문 앵커값 사이를 내재 CAGR로 보간한 값</t>
        </is>
      </c>
    </row>
    <row r="3">
      <c r="A3" s="2" t="inlineStr">
        <is>
          <t>※ 기관마다 '반도체 장비'의 정의(전공정만/전·후공정 포함/서비스 포함)와 산출 기준이 달라 절대 규모 편차가 큼. 실제 장비 매출 실적은 'SEMI_실적' 시트 참조.</t>
        </is>
      </c>
    </row>
    <row r="5">
      <c r="A5" s="3" t="inlineStr">
        <is>
          <t>시장조사기관</t>
        </is>
      </c>
      <c r="B5" s="3" t="inlineStr">
        <is>
          <t>2024</t>
        </is>
      </c>
      <c r="C5" s="3" t="inlineStr">
        <is>
          <t>2025</t>
        </is>
      </c>
      <c r="D5" s="3" t="inlineStr">
        <is>
          <t>2026E</t>
        </is>
      </c>
      <c r="E5" s="3" t="inlineStr">
        <is>
          <t>2027E</t>
        </is>
      </c>
      <c r="F5" s="3" t="inlineStr">
        <is>
          <t>2028E</t>
        </is>
      </c>
      <c r="G5" s="3" t="inlineStr">
        <is>
          <t>2029E</t>
        </is>
      </c>
      <c r="H5" s="3" t="inlineStr">
        <is>
          <t>2030E</t>
        </is>
      </c>
      <c r="I5" s="3" t="inlineStr">
        <is>
          <t>2031E</t>
        </is>
      </c>
      <c r="J5" s="3" t="inlineStr">
        <is>
          <t>2032E</t>
        </is>
      </c>
      <c r="K5" s="3" t="inlineStr">
        <is>
          <t>2033E</t>
        </is>
      </c>
      <c r="L5" s="3" t="inlineStr">
        <is>
          <t>2034E</t>
        </is>
      </c>
      <c r="M5" s="3" t="inlineStr">
        <is>
          <t>2035E</t>
        </is>
      </c>
      <c r="N5" s="3" t="inlineStr">
        <is>
          <t>발표 CAGR</t>
        </is>
      </c>
      <c r="O5" s="3" t="inlineStr">
        <is>
          <t>내재 CAGR</t>
        </is>
      </c>
      <c r="P5" s="3" t="inlineStr">
        <is>
          <t>전망기간</t>
        </is>
      </c>
      <c r="Q5" s="3" t="inlineStr">
        <is>
          <t>발표시점</t>
        </is>
      </c>
      <c r="R5" s="3" t="inlineStr">
        <is>
          <t>비고</t>
        </is>
      </c>
      <c r="S5" s="3" t="inlineStr">
        <is>
          <t>출처(URL)</t>
        </is>
      </c>
    </row>
    <row r="6">
      <c r="A6" s="4" t="inlineStr">
        <is>
          <t>Grand View Research</t>
        </is>
      </c>
      <c r="B6" s="5" t="n"/>
      <c r="C6" s="6" t="n">
        <v>14796.6</v>
      </c>
      <c r="D6" s="7">
        <f>C6*(1+$O6)</f>
        <v/>
      </c>
      <c r="E6" s="7">
        <f>D6*(1+$O6)</f>
        <v/>
      </c>
      <c r="F6" s="7">
        <f>E6*(1+$O6)</f>
        <v/>
      </c>
      <c r="G6" s="7">
        <f>F6*(1+$O6)</f>
        <v/>
      </c>
      <c r="H6" s="7">
        <f>G6*(1+$O6)</f>
        <v/>
      </c>
      <c r="I6" s="7">
        <f>H6*(1+$O6)</f>
        <v/>
      </c>
      <c r="J6" s="7">
        <f>I6*(1+$O6)</f>
        <v/>
      </c>
      <c r="K6" s="6" t="n">
        <v>28700.6</v>
      </c>
      <c r="L6" s="5" t="n"/>
      <c r="M6" s="5" t="n"/>
      <c r="N6" s="8" t="inlineStr">
        <is>
          <t>8.7%</t>
        </is>
      </c>
      <c r="O6" s="9">
        <f>(K6/C6)^(1/8)-1</f>
        <v/>
      </c>
      <c r="P6" s="8" t="inlineStr">
        <is>
          <t>2026-2033</t>
        </is>
      </c>
      <c r="Q6" s="8" t="inlineStr">
        <is>
          <t>26년 (2026~2033 전망)</t>
        </is>
      </c>
      <c r="R6" s="10" t="inlineStr">
        <is>
          <t>한국이 2025년 글로벌 시장의 12.4% 차지한다고 명시. 2025년/2033년만 원문 공개</t>
        </is>
      </c>
      <c r="S6" s="11" t="inlineStr">
        <is>
          <t>https://www.grandviewresearch.com/horizon/outlook/semiconductor-manufacturing-equipment-market/south-korea</t>
        </is>
      </c>
    </row>
    <row r="7">
      <c r="A7" s="4" t="inlineStr">
        <is>
          <t>Spherical Insights</t>
        </is>
      </c>
      <c r="B7" s="6" t="n">
        <v>12498.1</v>
      </c>
      <c r="C7" s="7">
        <f>B7*(1+$O7)</f>
        <v/>
      </c>
      <c r="D7" s="7">
        <f>C7*(1+$O7)</f>
        <v/>
      </c>
      <c r="E7" s="7">
        <f>D7*(1+$O7)</f>
        <v/>
      </c>
      <c r="F7" s="7">
        <f>E7*(1+$O7)</f>
        <v/>
      </c>
      <c r="G7" s="7">
        <f>F7*(1+$O7)</f>
        <v/>
      </c>
      <c r="H7" s="7">
        <f>G7*(1+$O7)</f>
        <v/>
      </c>
      <c r="I7" s="7">
        <f>H7*(1+$O7)</f>
        <v/>
      </c>
      <c r="J7" s="7">
        <f>I7*(1+$O7)</f>
        <v/>
      </c>
      <c r="K7" s="7">
        <f>J7*(1+$O7)</f>
        <v/>
      </c>
      <c r="L7" s="7">
        <f>K7*(1+$O7)</f>
        <v/>
      </c>
      <c r="M7" s="6" t="n">
        <v>29879.3</v>
      </c>
      <c r="N7" s="8" t="inlineStr">
        <is>
          <t>8.25%</t>
        </is>
      </c>
      <c r="O7" s="9">
        <f>(M7/B7)^(1/11)-1</f>
        <v/>
      </c>
      <c r="P7" s="8" t="inlineStr">
        <is>
          <t>2025-2035</t>
        </is>
      </c>
      <c r="Q7" s="8" t="inlineStr">
        <is>
          <t>25~26년</t>
        </is>
      </c>
      <c r="R7" s="10" t="inlineStr">
        <is>
          <t>발표 CAGR(8.25%)와 원문 앵커값 기반 내재 CAGR이 일치 (정합성 양호)</t>
        </is>
      </c>
      <c r="S7" s="11" t="inlineStr">
        <is>
          <t>https://www.sphericalinsights.com/reports/south-korea-semiconductor-manufacturing-equipment-market</t>
        </is>
      </c>
    </row>
    <row r="8">
      <c r="A8" s="4" t="inlineStr">
        <is>
          <t>Market Research Future (MRFR)</t>
        </is>
      </c>
      <c r="B8" s="6" t="n">
        <v>9630</v>
      </c>
      <c r="C8" s="6" t="n">
        <v>10530</v>
      </c>
      <c r="D8" s="7">
        <f>C8*(1+$O8)</f>
        <v/>
      </c>
      <c r="E8" s="7">
        <f>D8*(1+$O8)</f>
        <v/>
      </c>
      <c r="F8" s="7">
        <f>E8*(1+$O8)</f>
        <v/>
      </c>
      <c r="G8" s="7">
        <f>F8*(1+$O8)</f>
        <v/>
      </c>
      <c r="H8" s="7">
        <f>G8*(1+$O8)</f>
        <v/>
      </c>
      <c r="I8" s="7">
        <f>H8*(1+$O8)</f>
        <v/>
      </c>
      <c r="J8" s="7">
        <f>I8*(1+$O8)</f>
        <v/>
      </c>
      <c r="K8" s="7">
        <f>J8*(1+$O8)</f>
        <v/>
      </c>
      <c r="L8" s="7">
        <f>K8*(1+$O8)</f>
        <v/>
      </c>
      <c r="M8" s="6" t="n">
        <v>24000</v>
      </c>
      <c r="N8" s="8" t="inlineStr">
        <is>
          <t>7.779%</t>
        </is>
      </c>
      <c r="O8" s="9">
        <f>(M8/C8)^(1/10)-1</f>
        <v/>
      </c>
      <c r="P8" s="8" t="inlineStr">
        <is>
          <t>2025-2035</t>
        </is>
      </c>
      <c r="Q8" s="8" t="inlineStr">
        <is>
          <t>25~26년</t>
        </is>
      </c>
      <c r="R8" s="10" t="inlineStr">
        <is>
          <t>원문 페이지 표기는 'USD Million'이나 세그먼트 수치 정합상 Billion 오기로 판단해 백만달러로 환산. 발표 CAGR과 앵커값 불일치</t>
        </is>
      </c>
      <c r="S8" s="11" t="inlineStr">
        <is>
          <t>https://www.marketresearchfuture.com/reports/south-korea-semiconductor-production-equipment-market-49157</t>
        </is>
      </c>
    </row>
    <row r="9">
      <c r="A9" s="4" t="inlineStr">
        <is>
          <t>IMARC Group</t>
        </is>
      </c>
      <c r="B9" s="5" t="n"/>
      <c r="C9" s="6" t="n">
        <v>2200</v>
      </c>
      <c r="D9" s="7">
        <f>C9*(1+$O9)</f>
        <v/>
      </c>
      <c r="E9" s="7">
        <f>D9*(1+$O9)</f>
        <v/>
      </c>
      <c r="F9" s="7">
        <f>E9*(1+$O9)</f>
        <v/>
      </c>
      <c r="G9" s="7">
        <f>F9*(1+$O9)</f>
        <v/>
      </c>
      <c r="H9" s="7">
        <f>G9*(1+$O9)</f>
        <v/>
      </c>
      <c r="I9" s="7">
        <f>H9*(1+$O9)</f>
        <v/>
      </c>
      <c r="J9" s="7">
        <f>I9*(1+$O9)</f>
        <v/>
      </c>
      <c r="K9" s="7">
        <f>J9*(1+$O9)</f>
        <v/>
      </c>
      <c r="L9" s="6" t="n">
        <v>5100</v>
      </c>
      <c r="M9" s="5" t="n"/>
      <c r="N9" s="8" t="inlineStr">
        <is>
          <t>9.31%</t>
        </is>
      </c>
      <c r="O9" s="9">
        <f>(L9/C9)^(1/9)-1</f>
        <v/>
      </c>
      <c r="P9" s="8" t="inlineStr">
        <is>
          <t>2026-2034</t>
        </is>
      </c>
      <c r="Q9" s="8" t="inlineStr">
        <is>
          <t>26년 (2026~2034 전망)</t>
        </is>
      </c>
      <c r="R9" s="10" t="inlineStr">
        <is>
          <t>규모가 타 기관 대비 현저히 작음 → 장비 전체가 아닌 일부 세그먼트 기준으로 추정. 추세(CAGR) 참고용</t>
        </is>
      </c>
      <c r="S9" s="11" t="inlineStr">
        <is>
          <t>https://www.imarcgroup.com/south-korea-semiconductor-manufacturing-equipment-market</t>
        </is>
      </c>
    </row>
    <row r="10">
      <c r="A10" s="4" t="inlineStr">
        <is>
          <t>Straits Research</t>
        </is>
      </c>
      <c r="B10" s="6" t="n">
        <v>2883.16</v>
      </c>
      <c r="C10" s="6" t="n">
        <v>2999.57</v>
      </c>
      <c r="D10" s="7">
        <f>C10*(1+$O10)</f>
        <v/>
      </c>
      <c r="E10" s="7">
        <f>D10*(1+$O10)</f>
        <v/>
      </c>
      <c r="F10" s="7">
        <f>E10*(1+$O10)</f>
        <v/>
      </c>
      <c r="G10" s="7">
        <f>F10*(1+$O10)</f>
        <v/>
      </c>
      <c r="H10" s="7">
        <f>G10*(1+$O10)</f>
        <v/>
      </c>
      <c r="I10" s="7">
        <f>H10*(1+$O10)</f>
        <v/>
      </c>
      <c r="J10" s="7">
        <f>I10*(1+$O10)</f>
        <v/>
      </c>
      <c r="K10" s="6" t="n">
        <v>4072.06</v>
      </c>
      <c r="L10" s="5" t="n"/>
      <c r="M10" s="5" t="n"/>
      <c r="N10" s="8" t="inlineStr">
        <is>
          <t>3.3%</t>
        </is>
      </c>
      <c r="O10" s="9">
        <f>(K10/C10)^(1/8)-1</f>
        <v/>
      </c>
      <c r="P10" s="8" t="inlineStr">
        <is>
          <t>2025-2033</t>
        </is>
      </c>
      <c r="Q10" s="8" t="inlineStr">
        <is>
          <t>25년</t>
        </is>
      </c>
      <c r="R10" s="10" t="inlineStr">
        <is>
          <t>발표 CAGR(3.3%)과 앵커값 내재 CAGR(약 3.9%) 불일치. 규모도 타 기관 대비 작음</t>
        </is>
      </c>
      <c r="S10" s="11" t="inlineStr">
        <is>
          <t>https://straitsresearch.com/report/semiconductor-manufacturing-equipment-market/south-korea</t>
        </is>
      </c>
    </row>
    <row r="11">
      <c r="A11" s="4" t="inlineStr">
        <is>
          <t>Future Market Insights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8" t="inlineStr">
        <is>
          <t>9.8%</t>
        </is>
      </c>
      <c r="P11" s="8" t="inlineStr">
        <is>
          <t>2026-2036</t>
        </is>
      </c>
      <c r="Q11" s="8" t="inlineStr">
        <is>
          <t>26년 (2026~2036 전망)</t>
        </is>
      </c>
      <c r="R11" s="10" t="inlineStr">
        <is>
          <t>글로벌 리포트 내 국가별 CAGR로 한국 9.8% 제시(세계 최고 수준). 한국 절대 규모는 원문 미공개 / 검색 스니펫상 2026년 US$18.5B 언급 있으나 원문 확인 불가</t>
        </is>
      </c>
      <c r="S11" s="11" t="inlineStr">
        <is>
          <t>https://www.futuremarketinsights.com/reports/semiconductor-manufacturing-equipment-market</t>
        </is>
      </c>
    </row>
    <row r="13">
      <c r="A13" s="12" t="inlineStr">
        <is>
          <t>[참고] SEMI (실적/공식 전망, 한국 장비 매출액)</t>
        </is>
      </c>
      <c r="B13" s="13" t="n">
        <v>20500</v>
      </c>
      <c r="C13" s="13" t="n">
        <v>25800</v>
      </c>
      <c r="D13" s="13" t="n">
        <v>29660</v>
      </c>
      <c r="N13" s="14" t="inlineStr">
        <is>
          <t>-</t>
        </is>
      </c>
      <c r="P13" s="14" t="inlineStr">
        <is>
          <t>실적/전망</t>
        </is>
      </c>
      <c r="Q13" s="14" t="inlineStr">
        <is>
          <t>26.04 / 25.12</t>
        </is>
      </c>
      <c r="R13" s="15" t="inlineStr">
        <is>
          <t>2024·2025는 SEMI WWSEMS 실적(신품 장비 출하액), 2026은 SEMI 연말전망 기반 지역별 추정치. 상세는 'SEMI_실적' 시트</t>
        </is>
      </c>
      <c r="S13" s="16" t="inlineStr">
        <is>
          <t>https://www.semi.org/en/SEMI-Reports-Global-Semiconductor-Equipment-Billings-Reached-135-Billion-in-2025</t>
        </is>
      </c>
    </row>
    <row r="15">
      <c r="A15" s="17" t="inlineStr">
        <is>
          <t>범례 / 산출 방법</t>
        </is>
      </c>
    </row>
    <row r="16">
      <c r="A16" s="2" t="inlineStr">
        <is>
          <t>· 파란색 숫자 = 각 기관이 웹페이지에 직접 공개한 수치(앵커). 검은색 숫자 = 앵커 사이를 내재 CAGR로 보간한 값이며 기관 공식 수치가 아님.</t>
        </is>
      </c>
    </row>
    <row r="17">
      <c r="A17" s="2" t="inlineStr">
        <is>
          <t>· 내재 CAGR = (종료연도 앵커 / 시작연도 앵커)^(1/기간) - 1. 기관 '발표 CAGR'과 다른 경우 원문 자체의 수치 불일치이므로 두 값을 병기함.</t>
        </is>
      </c>
    </row>
    <row r="18">
      <c r="A18" s="2" t="inlineStr">
        <is>
          <t>· 각 기관 페이지는 연도별 시계열을 전면 공개하지 않고 시작/종료 연도와 CAGR만 공개하므로, 중간연도는 보간 외 방법이 없음(유료 리포트 구매 시 원본 시계열 확보 가능).</t>
        </is>
      </c>
    </row>
    <row r="19">
      <c r="A19" s="2" t="inlineStr">
        <is>
          <t>· 조사기관 리포트는 정의·범위 차이로 규모 편차가 매우 큼(2025년 기준 2.2B~14.8B). 실제 집행액 지표로는 SEMI WWSEMS(2025년 한국 258억달러)가 업계 표준.</t>
        </is>
      </c>
    </row>
  </sheetData>
  <hyperlinks>
    <hyperlink xmlns:r="http://schemas.openxmlformats.org/officeDocument/2006/relationships" ref="S6" r:id="rId1"/>
    <hyperlink xmlns:r="http://schemas.openxmlformats.org/officeDocument/2006/relationships" ref="S7" r:id="rId2"/>
    <hyperlink xmlns:r="http://schemas.openxmlformats.org/officeDocument/2006/relationships" ref="S8" r:id="rId3"/>
    <hyperlink xmlns:r="http://schemas.openxmlformats.org/officeDocument/2006/relationships" ref="S9" r:id="rId4"/>
    <hyperlink xmlns:r="http://schemas.openxmlformats.org/officeDocument/2006/relationships" ref="S10" r:id="rId5"/>
    <hyperlink xmlns:r="http://schemas.openxmlformats.org/officeDocument/2006/relationships" ref="S1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62" customWidth="1" min="6" max="6"/>
    <col width="62" customWidth="1" min="7" max="7"/>
  </cols>
  <sheetData>
    <row r="1">
      <c r="A1" s="1" t="inlineStr">
        <is>
          <t>SEMI - 반도체 장비 매출 실적 및 공식 전망 (단위: 백만달러)</t>
        </is>
      </c>
    </row>
    <row r="2">
      <c r="A2" s="2" t="inlineStr">
        <is>
          <t>SEMI WWSEMS(Worldwide Semiconductor Equipment Market Statistics) = 전 세계 신품 반도체 장비 출하액 실적, 업계 표준 지표</t>
        </is>
      </c>
    </row>
    <row r="4">
      <c r="A4" s="17" t="inlineStr">
        <is>
          <t>① 한국 반도체 장비 매출액 (지역별 billings)</t>
        </is>
      </c>
    </row>
    <row r="5">
      <c r="A5" s="3" t="inlineStr">
        <is>
          <t>구분</t>
        </is>
      </c>
      <c r="B5" s="3" t="inlineStr">
        <is>
          <t>2023</t>
        </is>
      </c>
      <c r="C5" s="3" t="inlineStr">
        <is>
          <t>2024</t>
        </is>
      </c>
      <c r="D5" s="3" t="inlineStr">
        <is>
          <t>2025</t>
        </is>
      </c>
      <c r="E5" s="3" t="inlineStr">
        <is>
          <t>2026F</t>
        </is>
      </c>
      <c r="F5" s="3" t="inlineStr">
        <is>
          <t>비고</t>
        </is>
      </c>
      <c r="G5" s="3" t="inlineStr">
        <is>
          <t>출처(URL)</t>
        </is>
      </c>
    </row>
    <row r="6">
      <c r="A6" s="17" t="inlineStr">
        <is>
          <t>한국 (금액)</t>
        </is>
      </c>
      <c r="C6" s="6" t="n">
        <v>20500</v>
      </c>
      <c r="D6" s="6" t="n">
        <v>25800</v>
      </c>
      <c r="E6" s="6" t="n">
        <v>29660</v>
      </c>
      <c r="F6" t="inlineStr">
        <is>
          <t>2026F는 SEMI 연말전망 기준 지역 추정치(당시 2025년 추정 23,320 대비 +27.2%). 실제 2025년은 25,800으로 확정</t>
        </is>
      </c>
      <c r="G6" s="16" t="inlineStr">
        <is>
          <t>https://www.digitimes.com/news/a20251229PD209/south-korea-chips-equipment-investment-dram-2026.html</t>
        </is>
      </c>
    </row>
    <row r="7">
      <c r="A7" s="17" t="inlineStr">
        <is>
          <t>한국 (YoY)</t>
        </is>
      </c>
      <c r="D7" s="18">
        <f>D6/C6-1</f>
        <v/>
      </c>
      <c r="E7" s="18">
        <f>E6/D6-1</f>
        <v/>
      </c>
      <c r="F7" t="inlineStr">
        <is>
          <t>2024 +3%(메모리 회복), 2025 +26%(HBM·DRAM 투자), 2026 +27%(2위 탈환 전망)</t>
        </is>
      </c>
    </row>
    <row r="9">
      <c r="A9" s="17" t="inlineStr">
        <is>
          <t>② 2025년 지역별 장비 매출 실적 (SEMI, 2026.04 발표)</t>
        </is>
      </c>
    </row>
    <row r="10">
      <c r="A10" s="3" t="inlineStr">
        <is>
          <t>지역</t>
        </is>
      </c>
      <c r="B10" s="3" t="inlineStr">
        <is>
          <t>2024</t>
        </is>
      </c>
      <c r="C10" s="3" t="inlineStr">
        <is>
          <t>2025</t>
        </is>
      </c>
      <c r="D10" s="3" t="inlineStr">
        <is>
          <t>YoY</t>
        </is>
      </c>
      <c r="E10" s="3" t="inlineStr">
        <is>
          <t>비고</t>
        </is>
      </c>
    </row>
    <row r="11">
      <c r="A11" s="19" t="inlineStr">
        <is>
          <t>중국</t>
        </is>
      </c>
      <c r="B11" s="6" t="n">
        <v>49600</v>
      </c>
      <c r="C11" s="6" t="n">
        <v>49300</v>
      </c>
      <c r="D11" s="20">
        <f>C11/B11-1</f>
        <v/>
      </c>
      <c r="E11" s="21" t="inlineStr">
        <is>
          <t>역대 최고 수준 유지, 성숙노드 중심</t>
        </is>
      </c>
    </row>
    <row r="12">
      <c r="A12" s="19" t="inlineStr">
        <is>
          <t>대만</t>
        </is>
      </c>
      <c r="B12" s="6" t="n">
        <v>16600</v>
      </c>
      <c r="C12" s="6" t="n">
        <v>31500</v>
      </c>
      <c r="D12" s="20">
        <f>C12/B12-1</f>
        <v/>
      </c>
      <c r="E12" s="21" t="inlineStr">
        <is>
          <t>TSMC 첨단로직 증설로 +90% 급증, 2위</t>
        </is>
      </c>
    </row>
    <row r="13">
      <c r="A13" s="19" t="inlineStr">
        <is>
          <t>한국</t>
        </is>
      </c>
      <c r="B13" s="6" t="n">
        <v>20500</v>
      </c>
      <c r="C13" s="6" t="n">
        <v>25800</v>
      </c>
      <c r="D13" s="20">
        <f>C13/B13-1</f>
        <v/>
      </c>
      <c r="E13" s="21" t="inlineStr">
        <is>
          <t>HBM·DRAM 투자 지속, 3위</t>
        </is>
      </c>
    </row>
    <row r="14">
      <c r="A14" s="19" t="inlineStr">
        <is>
          <t>북미</t>
        </is>
      </c>
      <c r="B14" s="5" t="n"/>
      <c r="C14" s="6" t="n">
        <v>10900</v>
      </c>
      <c r="D14" s="5" t="n"/>
      <c r="E14" s="21" t="inlineStr"/>
    </row>
    <row r="15">
      <c r="A15" s="19" t="inlineStr">
        <is>
          <t>일본</t>
        </is>
      </c>
      <c r="B15" s="5" t="n"/>
      <c r="C15" s="6" t="n">
        <v>9500</v>
      </c>
      <c r="D15" s="5" t="n"/>
      <c r="E15" s="21" t="inlineStr"/>
    </row>
    <row r="16">
      <c r="A16" s="19" t="inlineStr">
        <is>
          <t>유럽</t>
        </is>
      </c>
      <c r="B16" s="5" t="n"/>
      <c r="C16" s="6" t="n">
        <v>2900</v>
      </c>
      <c r="D16" s="5" t="n"/>
      <c r="E16" s="21" t="inlineStr"/>
    </row>
    <row r="17">
      <c r="A17" s="19" t="inlineStr">
        <is>
          <t>기타</t>
        </is>
      </c>
      <c r="B17" s="5" t="n"/>
      <c r="C17" s="6" t="n">
        <v>5200</v>
      </c>
      <c r="D17" s="5" t="n"/>
      <c r="E17" s="21" t="inlineStr"/>
    </row>
    <row r="18">
      <c r="A18" s="4" t="inlineStr">
        <is>
          <t>전 세계 합계</t>
        </is>
      </c>
      <c r="B18" s="6" t="n">
        <v>117100</v>
      </c>
      <c r="C18" s="6" t="n">
        <v>135100</v>
      </c>
      <c r="D18" s="20">
        <f>C18/B18-1</f>
        <v/>
      </c>
      <c r="E18" s="21" t="inlineStr">
        <is>
          <t>사상 최대, 중국·대만·한국이 79% 차지(2024년 74%)</t>
        </is>
      </c>
    </row>
    <row r="19">
      <c r="A19" s="2" t="inlineStr">
        <is>
          <t>출처: SEMI, 'Global Semiconductor Equipment Billings Reached $135 Billion in 2025' (2026.04)</t>
        </is>
      </c>
    </row>
    <row r="20">
      <c r="A20" s="16" t="inlineStr">
        <is>
          <t>https://www.semi.org/en/SEMI-Reports-Global-Semiconductor-Equipment-Billings-Reached-135-Billion-in-2025</t>
        </is>
      </c>
    </row>
    <row r="21">
      <c r="A21" s="2" t="inlineStr">
        <is>
          <t>2024년 실적 출처: SEMI, 'Global Semiconductor Equipment Billings Surged to $117 Billion in 2024' (2025.04)</t>
        </is>
      </c>
    </row>
    <row r="22">
      <c r="A22" s="16" t="inlineStr">
        <is>
          <t>https://www.semi.org/en/semi-press-release/global-semiconductor-equipment-billings-surged-to-117-billion-dollars-in-2024-semi-reports</t>
        </is>
      </c>
    </row>
    <row r="24">
      <c r="A24" s="17" t="inlineStr">
        <is>
          <t>③ SEMI 글로벌 장비 시장 전망 (발표 시점별)</t>
        </is>
      </c>
    </row>
    <row r="25">
      <c r="A25" s="3" t="inlineStr">
        <is>
          <t>발표시점</t>
        </is>
      </c>
      <c r="B25" s="3" t="inlineStr">
        <is>
          <t>2025</t>
        </is>
      </c>
      <c r="C25" s="3" t="inlineStr">
        <is>
          <t>2026F</t>
        </is>
      </c>
      <c r="D25" s="3" t="inlineStr">
        <is>
          <t>2027F</t>
        </is>
      </c>
      <c r="E25" s="3" t="inlineStr">
        <is>
          <t>2028F</t>
        </is>
      </c>
      <c r="F25" s="3" t="inlineStr">
        <is>
          <t>비고</t>
        </is>
      </c>
      <c r="G25" s="3" t="inlineStr">
        <is>
          <t>출처(URL)</t>
        </is>
      </c>
    </row>
    <row r="26">
      <c r="A26" s="4" t="inlineStr">
        <is>
          <t>25.12 (연말 전망)</t>
        </is>
      </c>
      <c r="B26" s="6" t="n">
        <v>133000</v>
      </c>
      <c r="C26" s="6" t="n">
        <v>145000</v>
      </c>
      <c r="D26" s="6" t="n">
        <v>156000</v>
      </c>
      <c r="E26" s="5" t="n"/>
      <c r="F26" s="10" t="inlineStr">
        <is>
          <t>중국·대만·한국이 2027년까지 상위 3대 시장 유지, 한국은 첨단 메모리(HBM) 투자 견인</t>
        </is>
      </c>
      <c r="G26" s="22" t="inlineStr">
        <is>
          <t>https://www.semi.org/en/semi-press-release/global-semiconductor-equipment-sales-projected-to-reach-a-record-of-156-billion-dollars-in-2027-semi-reports</t>
        </is>
      </c>
    </row>
    <row r="27">
      <c r="A27" s="4" t="inlineStr">
        <is>
          <t>26.04 (실적 확정)</t>
        </is>
      </c>
      <c r="B27" s="6" t="n">
        <v>135100</v>
      </c>
      <c r="C27" s="5" t="n"/>
      <c r="D27" s="5" t="n"/>
      <c r="E27" s="5" t="n"/>
      <c r="F27" s="10" t="inlineStr">
        <is>
          <t>2025년 실적 1,351억달러 확정(+15%)</t>
        </is>
      </c>
      <c r="G27" s="22" t="inlineStr">
        <is>
          <t>https://www.semi.org/en/SEMI-Reports-Global-Semiconductor-Equipment-Billings-Reached-135-Billion-in-2025</t>
        </is>
      </c>
    </row>
    <row r="28">
      <c r="A28" s="4" t="inlineStr">
        <is>
          <t>26.07 (연중 전망, OEM 기준)</t>
        </is>
      </c>
      <c r="B28" s="5" t="n"/>
      <c r="C28" s="6" t="n">
        <v>165900</v>
      </c>
      <c r="D28" s="5" t="n"/>
      <c r="E28" s="6" t="n">
        <v>229500</v>
      </c>
      <c r="F28" s="10" t="inlineStr">
        <is>
          <t>AI 투자로 5년 연속 성장. 2028년 2,295억달러 사상 최대. 한국은 2028년까지 상위 3대 시장 유지</t>
        </is>
      </c>
      <c r="G28" s="22" t="inlineStr">
        <is>
          <t>https://www.semi.org/en/semi-press-release/global-semiconductor-equipment-sales-forecast-to-reach-a-record-229-billion-dollars-in-2028-semi-reports</t>
        </is>
      </c>
    </row>
  </sheetData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0" customWidth="1" min="5" max="5"/>
    <col width="13" customWidth="1" min="6" max="6"/>
    <col width="11" customWidth="1" min="7" max="7"/>
    <col width="52" customWidth="1" min="8" max="8"/>
    <col width="62" customWidth="1" min="9" max="9"/>
  </cols>
  <sheetData>
    <row r="1">
      <c r="A1" s="1" t="inlineStr">
        <is>
          <t>글로벌 반도체 장비 시장 및 한국 관련 참고 지표 (단위: 백만달러)</t>
        </is>
      </c>
    </row>
    <row r="2">
      <c r="A2" s="2" t="inlineStr">
        <is>
          <t>한국 단독 수치가 없는 기관 / 한국 인접 시장 자료. 한국 시장 규모 검증용 참고치.</t>
        </is>
      </c>
    </row>
    <row r="4">
      <c r="A4" s="3" t="inlineStr">
        <is>
          <t>기관</t>
        </is>
      </c>
      <c r="B4" s="3" t="inlineStr">
        <is>
          <t>대상</t>
        </is>
      </c>
      <c r="C4" s="3" t="inlineStr">
        <is>
          <t>기준연도 값</t>
        </is>
      </c>
      <c r="D4" s="3" t="inlineStr">
        <is>
          <t>종료연도 값</t>
        </is>
      </c>
      <c r="E4" s="3" t="inlineStr">
        <is>
          <t>CAGR</t>
        </is>
      </c>
      <c r="F4" s="3" t="inlineStr">
        <is>
          <t>전망기간</t>
        </is>
      </c>
      <c r="G4" s="3" t="inlineStr">
        <is>
          <t>발표시점</t>
        </is>
      </c>
      <c r="H4" s="3" t="inlineStr">
        <is>
          <t>비고</t>
        </is>
      </c>
      <c r="I4" s="3" t="inlineStr">
        <is>
          <t>출처(URL)</t>
        </is>
      </c>
    </row>
    <row r="5">
      <c r="A5" s="4" t="inlineStr">
        <is>
          <t>Mordor Intelligence</t>
        </is>
      </c>
      <c r="B5" s="19" t="inlineStr">
        <is>
          <t>글로벌 반도체 장비</t>
        </is>
      </c>
      <c r="C5" s="6" t="n">
        <v>114820</v>
      </c>
      <c r="D5" s="6" t="n">
        <v>162700</v>
      </c>
      <c r="E5" s="23" t="n">
        <v>0.0722</v>
      </c>
      <c r="F5" s="24" t="inlineStr">
        <is>
          <t>2026-2031</t>
        </is>
      </c>
      <c r="G5" s="24" t="inlineStr">
        <is>
          <t>26년</t>
        </is>
      </c>
      <c r="H5" s="10" t="inlineStr">
        <is>
          <t>2026년 1,148.2억달러 → 2031년 1,627.0억달러. 한국 단독 분리 수치 없음</t>
        </is>
      </c>
      <c r="I5" s="22" t="inlineStr">
        <is>
          <t>https://www.mordorintelligence.com/industry-reports/semiconductor-equipment-market</t>
        </is>
      </c>
    </row>
    <row r="6">
      <c r="A6" s="4" t="inlineStr">
        <is>
          <t>Future Market Insights</t>
        </is>
      </c>
      <c r="B6" s="19" t="inlineStr">
        <is>
          <t>글로벌 반도체 제조장비</t>
        </is>
      </c>
      <c r="C6" s="6" t="n">
        <v>121900</v>
      </c>
      <c r="D6" s="6" t="n">
        <v>256000</v>
      </c>
      <c r="E6" s="23" t="n">
        <v>0.077</v>
      </c>
      <c r="F6" s="24" t="inlineStr">
        <is>
          <t>2026-2036</t>
        </is>
      </c>
      <c r="G6" s="24" t="inlineStr">
        <is>
          <t>26년</t>
        </is>
      </c>
      <c r="H6" s="10" t="inlineStr">
        <is>
          <t>글로벌 CAGR 7.7%. 한국은 국가별 최고 수준인 9.8% 제시</t>
        </is>
      </c>
      <c r="I6" s="22" t="inlineStr">
        <is>
          <t>https://www.futuremarketinsights.com/reports/semiconductor-manufacturing-equipment-market</t>
        </is>
      </c>
    </row>
    <row r="7">
      <c r="A7" s="4" t="inlineStr">
        <is>
          <t>SEMI (한국어 발표)</t>
        </is>
      </c>
      <c r="B7" s="19" t="inlineStr">
        <is>
          <t>글로벌 반도체 장비</t>
        </is>
      </c>
      <c r="C7" s="5" t="n"/>
      <c r="D7" s="6" t="n">
        <v>139000</v>
      </c>
      <c r="E7" s="5" t="n"/>
      <c r="F7" s="24" t="inlineStr">
        <is>
          <t>2026</t>
        </is>
      </c>
      <c r="G7" s="24" t="inlineStr">
        <is>
          <t>25년</t>
        </is>
      </c>
      <c r="H7" s="10" t="inlineStr">
        <is>
          <t>2025년 1,210억달러 → 2026년 1,390억달러 전망(발표 당시 기준)</t>
        </is>
      </c>
      <c r="I7" s="22" t="inlineStr">
        <is>
          <t>https://www.semi.org/ko/node/156646</t>
        </is>
      </c>
    </row>
    <row r="8">
      <c r="A8" s="4" t="inlineStr">
        <is>
          <t>Counterpoint Research</t>
        </is>
      </c>
      <c r="B8" s="19" t="inlineStr">
        <is>
          <t>글로벌 반도체 제조장비</t>
        </is>
      </c>
      <c r="C8" s="5" t="n"/>
      <c r="D8" s="6" t="n">
        <v>143000</v>
      </c>
      <c r="E8" s="23" t="n">
        <v>0.12</v>
      </c>
      <c r="F8" s="24" t="inlineStr">
        <is>
          <t>2026</t>
        </is>
      </c>
      <c r="G8" s="24" t="inlineStr">
        <is>
          <t>26년</t>
        </is>
      </c>
      <c r="H8" s="10" t="inlineStr">
        <is>
          <t>2026년 전년 대비 +12%, 총매출 1,430억달러 전망. 한국을 핵심 수혜국으로 지목</t>
        </is>
      </c>
      <c r="I8" s="22" t="inlineStr">
        <is>
          <t>https://www.spaceinews.com/news/915378</t>
        </is>
      </c>
    </row>
    <row r="9">
      <c r="A9" s="4" t="inlineStr">
        <is>
          <t>Ken Research</t>
        </is>
      </c>
      <c r="B9" s="19" t="inlineStr">
        <is>
          <t>한국 반도체 장비 서비스</t>
        </is>
      </c>
      <c r="C9" s="6" t="n">
        <v>2900</v>
      </c>
      <c r="D9" s="5" t="n"/>
      <c r="E9" s="5" t="n"/>
      <c r="F9" s="24" t="inlineStr">
        <is>
          <t>-</t>
        </is>
      </c>
      <c r="G9" s="24" t="inlineStr">
        <is>
          <t>미상</t>
        </is>
      </c>
      <c r="H9" s="10" t="inlineStr">
        <is>
          <t>장비 본체가 아닌 '장비 서비스(유지보수·부품)' 시장 29억달러</t>
        </is>
      </c>
      <c r="I9" s="22" t="inlineStr">
        <is>
          <t>https://www.kenresearch.com/south-korea-semiconductor-equipment-services-market</t>
        </is>
      </c>
    </row>
    <row r="10">
      <c r="A10" s="4" t="inlineStr">
        <is>
          <t>Bonafide Research</t>
        </is>
      </c>
      <c r="B10" s="19" t="inlineStr">
        <is>
          <t>한국 반도체(소자) 시장</t>
        </is>
      </c>
      <c r="C10" s="5" t="n"/>
      <c r="D10" s="5" t="n"/>
      <c r="E10" s="23" t="n">
        <v>0.1027</v>
      </c>
      <c r="F10" s="24" t="inlineStr">
        <is>
          <t>2026-2031</t>
        </is>
      </c>
      <c r="G10" s="24" t="inlineStr">
        <is>
          <t>26년</t>
        </is>
      </c>
      <c r="H10" s="10" t="inlineStr">
        <is>
          <t>장비가 아닌 반도체 소자 시장. 전방 수요 성장률 참고용</t>
        </is>
      </c>
      <c r="I10" s="22" t="inlineStr">
        <is>
          <t>https://www.bonafideresearch.com/product/6401099916/south-korea-semiconductor-market</t>
        </is>
      </c>
    </row>
    <row r="11">
      <c r="A11" s="4" t="inlineStr">
        <is>
          <t>Spherical Insights</t>
        </is>
      </c>
      <c r="B11" s="19" t="inlineStr">
        <is>
          <t>한국 리소그래피 장비</t>
        </is>
      </c>
      <c r="C11" s="5" t="n"/>
      <c r="D11" s="5" t="n"/>
      <c r="E11" s="23" t="n">
        <v>0.059</v>
      </c>
      <c r="F11" s="24" t="inlineStr">
        <is>
          <t>2023-2033</t>
        </is>
      </c>
      <c r="G11" s="24" t="inlineStr">
        <is>
          <t>미상</t>
        </is>
      </c>
      <c r="H11" s="10" t="inlineStr">
        <is>
          <t>한국 장비 세부 세그먼트(노광) 성장률</t>
        </is>
      </c>
      <c r="I11" s="22" t="inlineStr">
        <is>
          <t>https://www.sphericalinsights.com/reports/south-korea-lithography-equipment-market</t>
        </is>
      </c>
    </row>
    <row r="12">
      <c r="A12" s="4" t="inlineStr">
        <is>
          <t>Straits Research</t>
        </is>
      </c>
      <c r="B12" s="19" t="inlineStr">
        <is>
          <t>아시아태평양 반도체 제조장비</t>
        </is>
      </c>
      <c r="C12" s="5" t="n"/>
      <c r="D12" s="5" t="n"/>
      <c r="E12" s="5" t="n"/>
      <c r="F12" s="24" t="inlineStr">
        <is>
          <t>2025-2033</t>
        </is>
      </c>
      <c r="G12" s="24" t="inlineStr">
        <is>
          <t>25년</t>
        </is>
      </c>
      <c r="H12" s="10" t="inlineStr">
        <is>
          <t>한국 상위 지역 리포트. 지역 내 한국 비중 확인용</t>
        </is>
      </c>
      <c r="I12" s="22" t="inlineStr">
        <is>
          <t>https://straitsresearch.com/report/semiconductor-manufacturing-equipment-market/asia-pacific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62" customWidth="1" min="3" max="3"/>
    <col width="62" customWidth="1" min="4" max="4"/>
    <col width="11" customWidth="1" min="5" max="5"/>
    <col width="70" customWidth="1" min="6" max="6"/>
  </cols>
  <sheetData>
    <row r="1">
      <c r="A1" s="1" t="inlineStr">
        <is>
          <t>출처 목록 (조사일 : 2026-08-20)</t>
        </is>
      </c>
    </row>
    <row r="2">
      <c r="A2" s="2" t="inlineStr">
        <is>
          <t>※ 조사기관 웹페이지는 요약 페이지 기준. 연도별 시계열 전체는 유료 리포트에만 포함되며, 본 취합표의 중간연도는 보간값임.</t>
        </is>
      </c>
    </row>
    <row r="4">
      <c r="A4" s="3" t="inlineStr">
        <is>
          <t>구분</t>
        </is>
      </c>
      <c r="B4" s="3" t="inlineStr">
        <is>
          <t>기관</t>
        </is>
      </c>
      <c r="C4" s="3" t="inlineStr">
        <is>
          <t>리포트/기사명</t>
        </is>
      </c>
      <c r="D4" s="3" t="inlineStr">
        <is>
          <t>핵심 수치</t>
        </is>
      </c>
      <c r="E4" s="3" t="inlineStr">
        <is>
          <t>발표시점</t>
        </is>
      </c>
      <c r="F4" s="3" t="inlineStr">
        <is>
          <t>URL</t>
        </is>
      </c>
    </row>
    <row r="5">
      <c r="A5" s="25" t="inlineStr">
        <is>
          <t>한국 장비 시장(기관)</t>
        </is>
      </c>
      <c r="B5" s="21" t="inlineStr">
        <is>
          <t>Grand View Research</t>
        </is>
      </c>
      <c r="C5" s="21" t="inlineStr">
        <is>
          <t>South Korea Semiconductor Manufacturing Equipment Market Size &amp; Outlook, 2033</t>
        </is>
      </c>
      <c r="D5" s="10" t="inlineStr">
        <is>
          <t>2025년 147.97억달러 → 2033년 287.01억달러, CAGR 8.7%(2026-2033), 글로벌 비중 12.4%</t>
        </is>
      </c>
      <c r="E5" s="24" t="inlineStr">
        <is>
          <t>26년</t>
        </is>
      </c>
      <c r="F5" s="22" t="inlineStr">
        <is>
          <t>https://www.grandviewresearch.com/horizon/outlook/semiconductor-manufacturing-equipment-market/south-korea</t>
        </is>
      </c>
    </row>
    <row r="6">
      <c r="A6" s="25" t="inlineStr">
        <is>
          <t>한국 장비 시장(기관)</t>
        </is>
      </c>
      <c r="B6" s="21" t="inlineStr">
        <is>
          <t>Spherical Insights</t>
        </is>
      </c>
      <c r="C6" s="21" t="inlineStr">
        <is>
          <t>South Korea Semiconductor Manufacturing Equipment Market</t>
        </is>
      </c>
      <c r="D6" s="10" t="inlineStr">
        <is>
          <t>2024년 124.98억달러 → 2035년 298.79억달러, CAGR 8.25%(2025-2035)</t>
        </is>
      </c>
      <c r="E6" s="24" t="inlineStr">
        <is>
          <t>25~26년</t>
        </is>
      </c>
      <c r="F6" s="22" t="inlineStr">
        <is>
          <t>https://www.sphericalinsights.com/reports/south-korea-semiconductor-manufacturing-equipment-market</t>
        </is>
      </c>
    </row>
    <row r="7">
      <c r="A7" s="25" t="inlineStr">
        <is>
          <t>한국 장비 시장(기관)</t>
        </is>
      </c>
      <c r="B7" s="21" t="inlineStr">
        <is>
          <t>Market Research Future</t>
        </is>
      </c>
      <c r="C7" s="21" t="inlineStr">
        <is>
          <t>South Korea Semiconductor Production Equipment Market, Report 49157</t>
        </is>
      </c>
      <c r="D7" s="10" t="inlineStr">
        <is>
          <t>2024년 96.3억달러 → 2025년 105.3억달러 → 2035년 240억달러, CAGR 7.779%</t>
        </is>
      </c>
      <c r="E7" s="24" t="inlineStr">
        <is>
          <t>25~26년</t>
        </is>
      </c>
      <c r="F7" s="22" t="inlineStr">
        <is>
          <t>https://www.marketresearchfuture.com/reports/south-korea-semiconductor-production-equipment-market-49157</t>
        </is>
      </c>
    </row>
    <row r="8">
      <c r="A8" s="25" t="inlineStr">
        <is>
          <t>한국 장비 시장(기관)</t>
        </is>
      </c>
      <c r="B8" s="21" t="inlineStr">
        <is>
          <t>IMARC Group</t>
        </is>
      </c>
      <c r="C8" s="21" t="inlineStr">
        <is>
          <t>South Korea Semiconductor Manufacturing Equipment Market</t>
        </is>
      </c>
      <c r="D8" s="10" t="inlineStr">
        <is>
          <t>2025년 22억달러 → 2034년 51억달러, CAGR 9.31%(2026-2034)</t>
        </is>
      </c>
      <c r="E8" s="24" t="inlineStr">
        <is>
          <t>26년</t>
        </is>
      </c>
      <c r="F8" s="22" t="inlineStr">
        <is>
          <t>https://www.imarcgroup.com/south-korea-semiconductor-manufacturing-equipment-market</t>
        </is>
      </c>
    </row>
    <row r="9">
      <c r="A9" s="25" t="inlineStr">
        <is>
          <t>한국 장비 시장(기관)</t>
        </is>
      </c>
      <c r="B9" s="21" t="inlineStr">
        <is>
          <t>Straits Research</t>
        </is>
      </c>
      <c r="C9" s="21" t="inlineStr">
        <is>
          <t>South Korea Semiconductor Manufacturing Equipment Market, Forecast by 2033</t>
        </is>
      </c>
      <c r="D9" s="10" t="inlineStr">
        <is>
          <t>2024년 28.83억달러 → 2025년 30.00억달러 → 2033년 40.72억달러, CAGR 3.3%</t>
        </is>
      </c>
      <c r="E9" s="24" t="inlineStr">
        <is>
          <t>25년</t>
        </is>
      </c>
      <c r="F9" s="22" t="inlineStr">
        <is>
          <t>https://straitsresearch.com/report/semiconductor-manufacturing-equipment-market/south-korea</t>
        </is>
      </c>
    </row>
    <row r="10">
      <c r="A10" s="25" t="inlineStr">
        <is>
          <t>한국 장비 시장(기관)</t>
        </is>
      </c>
      <c r="B10" s="21" t="inlineStr">
        <is>
          <t>Future Market Insights</t>
        </is>
      </c>
      <c r="C10" s="21" t="inlineStr">
        <is>
          <t>Semiconductor Manufacturing Equipment Market (2026-2036)</t>
        </is>
      </c>
      <c r="D10" s="10" t="inlineStr">
        <is>
          <t>한국 CAGR 9.8%(2026-2036), 국가 중 최고 수준 / 글로벌 1,219억달러(2026) → 2,560억달러(2036)</t>
        </is>
      </c>
      <c r="E10" s="24" t="inlineStr">
        <is>
          <t>26년</t>
        </is>
      </c>
      <c r="F10" s="22" t="inlineStr">
        <is>
          <t>https://www.futuremarketinsights.com/reports/semiconductor-manufacturing-equipment-market</t>
        </is>
      </c>
    </row>
    <row r="11">
      <c r="A11" s="25" t="inlineStr">
        <is>
          <t>실적(공식 통계)</t>
        </is>
      </c>
      <c r="B11" s="21" t="inlineStr">
        <is>
          <t>SEMI</t>
        </is>
      </c>
      <c r="C11" s="21" t="inlineStr">
        <is>
          <t>Global Semiconductor Equipment Billings Reached $135 Billion in 2025 (WWSEMS)</t>
        </is>
      </c>
      <c r="D11" s="10" t="inlineStr">
        <is>
          <t>한국 258억달러(+26%, 3위), 글로벌 1,351억달러(+15%), 중·대·한 합계 79%</t>
        </is>
      </c>
      <c r="E11" s="24" t="inlineStr">
        <is>
          <t>26.04</t>
        </is>
      </c>
      <c r="F11" s="22" t="inlineStr">
        <is>
          <t>https://www.semi.org/en/SEMI-Reports-Global-Semiconductor-Equipment-Billings-Reached-135-Billion-in-2025</t>
        </is>
      </c>
    </row>
    <row r="12">
      <c r="A12" s="25" t="inlineStr">
        <is>
          <t>실적(공식 통계)</t>
        </is>
      </c>
      <c r="B12" s="21" t="inlineStr">
        <is>
          <t>SEMI</t>
        </is>
      </c>
      <c r="C12" s="21" t="inlineStr">
        <is>
          <t>Global Semiconductor Equipment Billings Surged to $117 Billion in 2024</t>
        </is>
      </c>
      <c r="D12" s="10" t="inlineStr">
        <is>
          <t>한국 205억달러(+3%, 2위), 글로벌 1,171억달러(+10%)</t>
        </is>
      </c>
      <c r="E12" s="24" t="inlineStr">
        <is>
          <t>25.04</t>
        </is>
      </c>
      <c r="F12" s="22" t="inlineStr">
        <is>
          <t>https://www.semi.org/en/semi-press-release/global-semiconductor-equipment-billings-surged-to-117-billion-dollars-in-2024-semi-reports</t>
        </is>
      </c>
    </row>
    <row r="13">
      <c r="A13" s="25" t="inlineStr">
        <is>
          <t>전망(공식 통계)</t>
        </is>
      </c>
      <c r="B13" s="21" t="inlineStr">
        <is>
          <t>SEMI</t>
        </is>
      </c>
      <c r="C13" s="21" t="inlineStr">
        <is>
          <t>Global Semiconductor Equipment Sales Projected to Reach $156 Billion in 2027</t>
        </is>
      </c>
      <c r="D13" s="10" t="inlineStr">
        <is>
          <t>2025년 1,330억 → 2026년 1,450억 → 2027년 1,560억달러. 한국 3위 유지</t>
        </is>
      </c>
      <c r="E13" s="24" t="inlineStr">
        <is>
          <t>25.12</t>
        </is>
      </c>
      <c r="F13" s="22" t="inlineStr">
        <is>
          <t>https://www.semi.org/en/semi-press-release/global-semiconductor-equipment-sales-projected-to-reach-a-record-of-156-billion-dollars-in-2027-semi-reports</t>
        </is>
      </c>
    </row>
    <row r="14">
      <c r="A14" s="25" t="inlineStr">
        <is>
          <t>전망(공식 통계)</t>
        </is>
      </c>
      <c r="B14" s="21" t="inlineStr">
        <is>
          <t>SEMI</t>
        </is>
      </c>
      <c r="C14" s="21" t="inlineStr">
        <is>
          <t>Global Semiconductor Equipment Sales Forecast to Reach a Record $229 Billion in 2028</t>
        </is>
      </c>
      <c r="D14" s="10" t="inlineStr">
        <is>
          <t>2026년 1,659억달러(OEM 기준) → 2028년 2,295억달러. 한국 상위 3대 시장 유지</t>
        </is>
      </c>
      <c r="E14" s="24" t="inlineStr">
        <is>
          <t>26.07</t>
        </is>
      </c>
      <c r="F14" s="22" t="inlineStr">
        <is>
          <t>https://www.semi.org/en/semi-press-release/global-semiconductor-equipment-sales-forecast-to-reach-a-record-229-billion-dollars-in-2028-semi-reports</t>
        </is>
      </c>
    </row>
    <row r="15">
      <c r="A15" s="25" t="inlineStr">
        <is>
          <t>한국 투자 전망</t>
        </is>
      </c>
      <c r="B15" s="21" t="inlineStr">
        <is>
          <t>DIGITIMES (SEMI 전망 인용)</t>
        </is>
      </c>
      <c r="C15" s="21" t="inlineStr">
        <is>
          <t>South Korea expected to reclaim no.2 in global chip equipment spending by 2026</t>
        </is>
      </c>
      <c r="D15" s="10" t="inlineStr">
        <is>
          <t>한국 2026년 296.6억달러(+27.2%), 중국 392.5억달러로 1위 유지</t>
        </is>
      </c>
      <c r="E15" s="24" t="inlineStr">
        <is>
          <t>25.12.29</t>
        </is>
      </c>
      <c r="F15" s="22" t="inlineStr">
        <is>
          <t>https://www.digitimes.com/news/a20251229PD209/south-korea-chips-equipment-investment-dram-2026.html</t>
        </is>
      </c>
    </row>
    <row r="16">
      <c r="A16" s="25" t="inlineStr">
        <is>
          <t>글로벌 참고</t>
        </is>
      </c>
      <c r="B16" s="21" t="inlineStr">
        <is>
          <t>Mordor Intelligence</t>
        </is>
      </c>
      <c r="C16" s="21" t="inlineStr">
        <is>
          <t>Semiconductor Equipment Market Size, Share &amp; Forecast Report 2031</t>
        </is>
      </c>
      <c r="D16" s="10" t="inlineStr">
        <is>
          <t>2026년 1,148.2억달러 → 2031년 1,627.0억달러, CAGR 7.22%</t>
        </is>
      </c>
      <c r="E16" s="24" t="inlineStr">
        <is>
          <t>26년</t>
        </is>
      </c>
      <c r="F16" s="22" t="inlineStr">
        <is>
          <t>https://www.mordorintelligence.com/industry-reports/semiconductor-equipment-market</t>
        </is>
      </c>
    </row>
    <row r="17">
      <c r="A17" s="25" t="inlineStr">
        <is>
          <t>글로벌 참고</t>
        </is>
      </c>
      <c r="B17" s="21" t="inlineStr">
        <is>
          <t>SEMI (한국어)</t>
        </is>
      </c>
      <c r="C17" s="21" t="inlineStr">
        <is>
          <t>2026년 전 세계 반도체 장비 시장 규모 1,390억 달러 도달할 것</t>
        </is>
      </c>
      <c r="D17" s="10" t="inlineStr">
        <is>
          <t>2025년 1,210억 → 2026년 1,390억달러, 한·중·대만 최대 투자국 유지</t>
        </is>
      </c>
      <c r="E17" s="24" t="inlineStr">
        <is>
          <t>25년</t>
        </is>
      </c>
      <c r="F17" s="22" t="inlineStr">
        <is>
          <t>https://www.semi.org/ko/node/156646</t>
        </is>
      </c>
    </row>
    <row r="18">
      <c r="A18" s="25" t="inlineStr">
        <is>
          <t>글로벌 참고</t>
        </is>
      </c>
      <c r="B18" s="21" t="inlineStr">
        <is>
          <t>Counterpoint Research (기사 인용)</t>
        </is>
      </c>
      <c r="C18" s="21" t="inlineStr">
        <is>
          <t>2026년 반도체 장비 시장 12% 성장 전망</t>
        </is>
      </c>
      <c r="D18" s="10" t="inlineStr">
        <is>
          <t>2026년 1,430억달러(+12%), 한국 핵심 수혜국</t>
        </is>
      </c>
      <c r="E18" s="24" t="inlineStr">
        <is>
          <t>26년</t>
        </is>
      </c>
      <c r="F18" s="22" t="inlineStr">
        <is>
          <t>https://www.spaceinews.com/news/915378</t>
        </is>
      </c>
    </row>
    <row r="19">
      <c r="A19" s="25" t="inlineStr">
        <is>
          <t>한국 인접 시장</t>
        </is>
      </c>
      <c r="B19" s="21" t="inlineStr">
        <is>
          <t>Ken Research</t>
        </is>
      </c>
      <c r="C19" s="21" t="inlineStr">
        <is>
          <t>South Korea Semiconductor Equipment Services Market</t>
        </is>
      </c>
      <c r="D19" s="10" t="inlineStr">
        <is>
          <t>한국 반도체 장비 서비스 시장 29억달러</t>
        </is>
      </c>
      <c r="E19" s="24" t="inlineStr">
        <is>
          <t>미상</t>
        </is>
      </c>
      <c r="F19" s="22" t="inlineStr">
        <is>
          <t>https://www.kenresearch.com/south-korea-semiconductor-equipment-services-market</t>
        </is>
      </c>
    </row>
    <row r="20">
      <c r="A20" s="25" t="inlineStr">
        <is>
          <t>한국 인접 시장</t>
        </is>
      </c>
      <c r="B20" s="21" t="inlineStr">
        <is>
          <t>Spherical Insights</t>
        </is>
      </c>
      <c r="C20" s="21" t="inlineStr">
        <is>
          <t>South Korea Lithography Equipment Market</t>
        </is>
      </c>
      <c r="D20" s="10" t="inlineStr">
        <is>
          <t>한국 노광장비 CAGR 5.9%(2023-2033)</t>
        </is>
      </c>
      <c r="E20" s="24" t="inlineStr">
        <is>
          <t>미상</t>
        </is>
      </c>
      <c r="F20" s="22" t="inlineStr">
        <is>
          <t>https://www.sphericalinsights.com/reports/south-korea-lithography-equipment-market</t>
        </is>
      </c>
    </row>
    <row r="21">
      <c r="A21" s="25" t="inlineStr">
        <is>
          <t>한국 인접 시장</t>
        </is>
      </c>
      <c r="B21" s="21" t="inlineStr">
        <is>
          <t>Bonafide Research</t>
        </is>
      </c>
      <c r="C21" s="21" t="inlineStr">
        <is>
          <t>South Korea Semiconductor Market Overview, 2031</t>
        </is>
      </c>
      <c r="D21" s="10" t="inlineStr">
        <is>
          <t>한국 반도체(소자) 시장 CAGR 10.27%(2026-2031)</t>
        </is>
      </c>
      <c r="E21" s="24" t="inlineStr">
        <is>
          <t>26년</t>
        </is>
      </c>
      <c r="F21" s="22" t="inlineStr">
        <is>
          <t>https://www.bonafideresearch.com/product/6401099916/south-korea-semiconductor-market</t>
        </is>
      </c>
    </row>
    <row r="22">
      <c r="A22" s="25" t="inlineStr">
        <is>
          <t>한국 인접 시장</t>
        </is>
      </c>
      <c r="B22" s="21" t="inlineStr">
        <is>
          <t>Transpire Insight</t>
        </is>
      </c>
      <c r="C22" s="21" t="inlineStr">
        <is>
          <t>South Korea AMHS for Semiconductor Market</t>
        </is>
      </c>
      <c r="D22" s="10" t="inlineStr">
        <is>
          <t>한국 반도체 자동물류(AMHS) 시장, 2033년까지 전망</t>
        </is>
      </c>
      <c r="E22" s="24" t="inlineStr">
        <is>
          <t>미상</t>
        </is>
      </c>
      <c r="F22" s="22" t="inlineStr">
        <is>
          <t>https://www.transpireinsight.com/report/south-korea-amhs-for-semiconductor-market</t>
        </is>
      </c>
    </row>
    <row r="23">
      <c r="A23" s="25" t="inlineStr">
        <is>
          <t>국내 기사</t>
        </is>
      </c>
      <c r="B23" s="21" t="inlineStr">
        <is>
          <t>테크월드 / 이코노믹리뷰</t>
        </is>
      </c>
      <c r="C23" s="21" t="inlineStr">
        <is>
          <t>2025년 반도체 장비 시장 15%↑ 한·중·대만이 견인</t>
        </is>
      </c>
      <c r="D23" s="10" t="inlineStr">
        <is>
          <t>한국 258억달러(+26%) 국문 확인 기사</t>
        </is>
      </c>
      <c r="E23" s="24" t="inlineStr">
        <is>
          <t>26.04</t>
        </is>
      </c>
      <c r="F23" s="22" t="inlineStr">
        <is>
          <t>https://www.epnc.co.kr/news/articleView.html?idxno=400190</t>
        </is>
      </c>
    </row>
    <row r="25">
      <c r="A25" s="26" t="inlineStr">
        <is>
          <t>확인 필요 항목</t>
        </is>
      </c>
    </row>
    <row r="26">
      <c r="A26" s="2" t="inlineStr">
        <is>
          <t>· Future Market Insights의 한국 2026년 규모 'US$18.50 Billion'이 검색 스니펫에 나타났으나 원문 페이지 직접 확인 불가(본 환경에서 해당 도메인 직접 접속 차단). 표에는 미반영.</t>
        </is>
      </c>
    </row>
    <row r="27">
      <c r="A27" s="2" t="inlineStr">
        <is>
          <t>· MRFR 페이지는 단위를 'USD Million'으로 표기하나 세그먼트 수치 정합상 Billion 오기로 판단해 환산 반영.</t>
        </is>
      </c>
    </row>
    <row r="28">
      <c r="A28" s="2" t="inlineStr">
        <is>
          <t>· Grand View Research / Spherical Insights / IMARC의 정확한 발표 월(月)은 페이지에 미표기. 전망 시작연도로 추정 표기.</t>
        </is>
      </c>
    </row>
    <row r="29">
      <c r="A29" s="2" t="inlineStr">
        <is>
          <t>· Straits Research·MRFR은 발표 CAGR과 자사 앵커값 간 정합성이 맞지 않음(표의 '내재 CAGR' 열로 비교 가능).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2026-08-20T10:18:00Z</dcterms:created>
  <dcterms:modified xsi:type="dcterms:W3CDTF">2026-08-20T10:18:00Z</dcterms:modified>
</cp:coreProperties>
</file>