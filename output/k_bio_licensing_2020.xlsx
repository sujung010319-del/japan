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년 기술수출" sheetId="1" state="visible" r:id="rId1"/>
  </sheets>
  <definedNames>
    <definedName name="_xlnm._FilterDatabase" localSheetId="0" hidden="1">'2020년 기술수출'!$A$2:$H$18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월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26" customWidth="1" min="4" max="4"/>
    <col width="12" customWidth="1" min="5" max="5"/>
    <col width="36" customWidth="1" min="6" max="6"/>
    <col width="14" customWidth="1" min="7" max="7"/>
    <col width="34" customWidth="1" min="8" max="8"/>
  </cols>
  <sheetData>
    <row r="1" ht="22" customHeight="1">
      <c r="A1" s="1" t="inlineStr">
        <is>
          <t>2020년 기술수출 현황 (단위: 억원)</t>
        </is>
      </c>
    </row>
    <row r="2" ht="26" customHeight="1">
      <c r="A2" s="2" t="inlineStr">
        <is>
          <t>번호</t>
        </is>
      </c>
      <c r="B2" s="2" t="inlineStr">
        <is>
          <t>일자(월)</t>
        </is>
      </c>
      <c r="C2" s="2" t="inlineStr">
        <is>
          <t>개발사</t>
        </is>
      </c>
      <c r="D2" s="2" t="inlineStr">
        <is>
          <t>계약상대</t>
        </is>
      </c>
      <c r="E2" s="2" t="inlineStr">
        <is>
          <t>국가</t>
        </is>
      </c>
      <c r="F2" s="2" t="inlineStr">
        <is>
          <t>적응증</t>
        </is>
      </c>
      <c r="G2" s="2" t="inlineStr">
        <is>
          <t>기술료(억원)</t>
        </is>
      </c>
      <c r="H2" s="2" t="inlineStr">
        <is>
          <t>비고</t>
        </is>
      </c>
    </row>
    <row r="3">
      <c r="A3" s="3" t="n">
        <v>1</v>
      </c>
      <c r="B3" s="4" t="n">
        <v>3</v>
      </c>
      <c r="C3" s="5" t="inlineStr">
        <is>
          <t>이뮤니스바이오</t>
        </is>
      </c>
      <c r="D3" s="5" t="inlineStr">
        <is>
          <t>NK 바이오셀</t>
        </is>
      </c>
      <c r="E3" s="3" t="inlineStr">
        <is>
          <t>말레이시아</t>
        </is>
      </c>
      <c r="F3" s="5" t="inlineStr">
        <is>
          <t>면역세포치료제</t>
        </is>
      </c>
      <c r="G3" s="6" t="n"/>
      <c r="H3" s="5" t="inlineStr">
        <is>
          <t>원문 기술료 미기재</t>
        </is>
      </c>
    </row>
    <row r="4">
      <c r="A4" s="3" t="n">
        <v>2</v>
      </c>
      <c r="B4" s="4" t="n">
        <v>4</v>
      </c>
      <c r="C4" s="5" t="inlineStr">
        <is>
          <t>레고켐바이오</t>
        </is>
      </c>
      <c r="D4" s="5" t="inlineStr">
        <is>
          <t>익수다테라퓨틱스</t>
        </is>
      </c>
      <c r="E4" s="3" t="inlineStr">
        <is>
          <t>영국</t>
        </is>
      </c>
      <c r="F4" s="5" t="inlineStr">
        <is>
          <t>항체·약물 복합체(ADC) 기술</t>
        </is>
      </c>
      <c r="G4" s="6" t="n">
        <v>4963</v>
      </c>
      <c r="H4" s="5" t="inlineStr"/>
    </row>
    <row r="5">
      <c r="A5" s="3" t="n">
        <v>3</v>
      </c>
      <c r="B5" s="4" t="n">
        <v>5</v>
      </c>
      <c r="C5" s="5" t="inlineStr">
        <is>
          <t>퓨쳐켐</t>
        </is>
      </c>
      <c r="D5" s="5" t="inlineStr">
        <is>
          <t>이아손</t>
        </is>
      </c>
      <c r="E5" s="3" t="inlineStr">
        <is>
          <t>오스트리아</t>
        </is>
      </c>
      <c r="F5" s="5" t="inlineStr">
        <is>
          <t>전립선암 진단 신약</t>
        </is>
      </c>
      <c r="G5" s="6" t="n">
        <v>16</v>
      </c>
      <c r="H5" s="5" t="inlineStr"/>
    </row>
    <row r="6">
      <c r="A6" s="3" t="n">
        <v>4</v>
      </c>
      <c r="B6" s="4" t="n">
        <v>6</v>
      </c>
      <c r="C6" s="5" t="inlineStr">
        <is>
          <t>레고켐바이오</t>
        </is>
      </c>
      <c r="D6" s="5" t="inlineStr">
        <is>
          <t>익수다테라퓨틱스</t>
        </is>
      </c>
      <c r="E6" s="3" t="inlineStr">
        <is>
          <t>영국</t>
        </is>
      </c>
      <c r="F6" s="5" t="inlineStr">
        <is>
          <t>항체·약물 복합체(ADC) 기술</t>
        </is>
      </c>
      <c r="G6" s="6" t="n">
        <v>2784</v>
      </c>
      <c r="H6" s="5" t="inlineStr"/>
    </row>
    <row r="7">
      <c r="A7" s="3" t="n">
        <v>5</v>
      </c>
      <c r="B7" s="4" t="n">
        <v>6</v>
      </c>
      <c r="C7" s="5" t="inlineStr">
        <is>
          <t>알테오젠</t>
        </is>
      </c>
      <c r="D7" s="5" t="inlineStr">
        <is>
          <t>글로벌 10대 제약사(비공개)</t>
        </is>
      </c>
      <c r="E7" s="3" t="inlineStr"/>
      <c r="F7" s="5" t="inlineStr">
        <is>
          <t>인간 히알루로니다아제 원천기술</t>
        </is>
      </c>
      <c r="G7" s="6" t="n">
        <v>46770</v>
      </c>
      <c r="H7" s="5" t="inlineStr">
        <is>
          <t>원문 국가 미표기(상대사 비공개)</t>
        </is>
      </c>
    </row>
    <row r="8">
      <c r="A8" s="3" t="n">
        <v>6</v>
      </c>
      <c r="B8" s="4" t="n">
        <v>8</v>
      </c>
      <c r="C8" s="5" t="inlineStr">
        <is>
          <t>한미약품</t>
        </is>
      </c>
      <c r="D8" s="5" t="inlineStr">
        <is>
          <t>MSD</t>
        </is>
      </c>
      <c r="E8" s="3" t="inlineStr">
        <is>
          <t>미국</t>
        </is>
      </c>
      <c r="F8" s="5" t="inlineStr">
        <is>
          <t>비알코올성 지방간염(NASH)</t>
        </is>
      </c>
      <c r="G8" s="6" t="n">
        <v>10273</v>
      </c>
      <c r="H8" s="5" t="inlineStr">
        <is>
          <t>원문 국가 미표기, 상대사 소재국으로 보완</t>
        </is>
      </c>
    </row>
    <row r="9">
      <c r="A9" s="3" t="n">
        <v>7</v>
      </c>
      <c r="B9" s="4" t="n">
        <v>8</v>
      </c>
      <c r="C9" s="5" t="inlineStr">
        <is>
          <t>유한양행</t>
        </is>
      </c>
      <c r="D9" s="5" t="inlineStr">
        <is>
          <t>프로세사 파머수티컬</t>
        </is>
      </c>
      <c r="E9" s="3" t="inlineStr">
        <is>
          <t>미국</t>
        </is>
      </c>
      <c r="F9" s="5" t="inlineStr">
        <is>
          <t>기능성 위장관 질환 신약</t>
        </is>
      </c>
      <c r="G9" s="6" t="n">
        <v>5000</v>
      </c>
      <c r="H9" s="5" t="inlineStr"/>
    </row>
    <row r="10">
      <c r="A10" s="3" t="n">
        <v>8</v>
      </c>
      <c r="B10" s="4" t="n">
        <v>9</v>
      </c>
      <c r="C10" s="5" t="inlineStr">
        <is>
          <t>퓨쳐켐</t>
        </is>
      </c>
      <c r="D10" s="5" t="inlineStr">
        <is>
          <t>HTA</t>
        </is>
      </c>
      <c r="E10" s="3" t="inlineStr">
        <is>
          <t>중국</t>
        </is>
      </c>
      <c r="F10" s="5" t="inlineStr">
        <is>
          <t>전립선암 진단 신약</t>
        </is>
      </c>
      <c r="G10" s="6" t="n">
        <v>6500</v>
      </c>
      <c r="H10" s="5" t="inlineStr"/>
    </row>
    <row r="11">
      <c r="A11" s="3" t="n">
        <v>9</v>
      </c>
      <c r="B11" s="4" t="n">
        <v>10</v>
      </c>
      <c r="C11" s="5" t="inlineStr">
        <is>
          <t>레고켐바이오</t>
        </is>
      </c>
      <c r="D11" s="5" t="inlineStr">
        <is>
          <t>시스톤 파마수티컬스</t>
        </is>
      </c>
      <c r="E11" s="3" t="inlineStr">
        <is>
          <t>중국</t>
        </is>
      </c>
      <c r="F11" s="5" t="inlineStr">
        <is>
          <t>항체-약물 복합체(ADC) 기반 항암제</t>
        </is>
      </c>
      <c r="G11" s="6" t="n">
        <v>4000</v>
      </c>
      <c r="H11" s="5" t="inlineStr"/>
    </row>
    <row r="12">
      <c r="A12" s="3" t="n">
        <v>10</v>
      </c>
      <c r="B12" s="4" t="n">
        <v>10</v>
      </c>
      <c r="C12" s="5" t="inlineStr">
        <is>
          <t>올릭스</t>
        </is>
      </c>
      <c r="D12" s="5" t="inlineStr">
        <is>
          <t>떼아</t>
        </is>
      </c>
      <c r="E12" s="3" t="inlineStr">
        <is>
          <t>프랑스</t>
        </is>
      </c>
      <c r="F12" s="5" t="inlineStr">
        <is>
          <t>안과질환 치료제</t>
        </is>
      </c>
      <c r="G12" s="6" t="n">
        <v>8873</v>
      </c>
      <c r="H12" s="5" t="inlineStr"/>
    </row>
    <row r="13">
      <c r="A13" s="3" t="n">
        <v>11</v>
      </c>
      <c r="B13" s="4" t="n">
        <v>10</v>
      </c>
      <c r="C13" s="5" t="inlineStr">
        <is>
          <t>SK바이오팜</t>
        </is>
      </c>
      <c r="D13" s="5" t="inlineStr">
        <is>
          <t>오노약품공업</t>
        </is>
      </c>
      <c r="E13" s="3" t="inlineStr">
        <is>
          <t>일본</t>
        </is>
      </c>
      <c r="F13" s="5" t="inlineStr">
        <is>
          <t>뇌전증 신약</t>
        </is>
      </c>
      <c r="G13" s="6" t="n">
        <v>5800</v>
      </c>
      <c r="H13" s="5" t="inlineStr"/>
    </row>
    <row r="14">
      <c r="A14" s="3" t="n">
        <v>12</v>
      </c>
      <c r="B14" s="4" t="n">
        <v>10</v>
      </c>
      <c r="C14" s="5" t="inlineStr">
        <is>
          <t>보로노이</t>
        </is>
      </c>
      <c r="D14" s="5" t="inlineStr">
        <is>
          <t>오릭</t>
        </is>
      </c>
      <c r="E14" s="3" t="inlineStr">
        <is>
          <t>미국</t>
        </is>
      </c>
      <c r="F14" s="5" t="inlineStr">
        <is>
          <t>돌연변이 비소세포폐암·고형암</t>
        </is>
      </c>
      <c r="G14" s="6" t="n">
        <v>7200</v>
      </c>
      <c r="H14" s="5" t="inlineStr"/>
    </row>
    <row r="15">
      <c r="A15" s="3" t="n">
        <v>13</v>
      </c>
      <c r="B15" s="4" t="n">
        <v>10</v>
      </c>
      <c r="C15" s="5" t="inlineStr">
        <is>
          <t>JW홀딩스</t>
        </is>
      </c>
      <c r="D15" s="5" t="inlineStr">
        <is>
          <t>산동뤄신제약그룹</t>
        </is>
      </c>
      <c r="E15" s="3" t="inlineStr">
        <is>
          <t>중국</t>
        </is>
      </c>
      <c r="F15" s="5" t="inlineStr">
        <is>
          <t>3체임버 종합영양수액제</t>
        </is>
      </c>
      <c r="G15" s="6" t="n">
        <v>440</v>
      </c>
      <c r="H15" s="5" t="inlineStr">
        <is>
          <t>원문 국가 미표기, 상대사 소재국으로 보완</t>
        </is>
      </c>
    </row>
    <row r="16">
      <c r="A16" s="3" t="n">
        <v>14</v>
      </c>
      <c r="B16" s="4" t="n">
        <v>11</v>
      </c>
      <c r="C16" s="5" t="inlineStr">
        <is>
          <t>크리스탈지노믹스</t>
        </is>
      </c>
      <c r="D16" s="5" t="inlineStr">
        <is>
          <t>마카온(자회사)</t>
        </is>
      </c>
      <c r="E16" s="3" t="inlineStr"/>
      <c r="F16" s="5" t="inlineStr">
        <is>
          <t>아이발티노스타트</t>
        </is>
      </c>
      <c r="G16" s="6" t="n">
        <v>1070</v>
      </c>
      <c r="H16" s="5" t="inlineStr">
        <is>
          <t>원문 국가 미표기</t>
        </is>
      </c>
    </row>
    <row r="17">
      <c r="A17" s="3" t="n">
        <v>15</v>
      </c>
      <c r="B17" s="4" t="n">
        <v>11</v>
      </c>
      <c r="C17" s="5" t="inlineStr">
        <is>
          <t>이수앱지스</t>
        </is>
      </c>
      <c r="D17" s="5" t="inlineStr">
        <is>
          <t>파마신테즈</t>
        </is>
      </c>
      <c r="E17" s="3" t="inlineStr">
        <is>
          <t>러시아</t>
        </is>
      </c>
      <c r="F17" s="5" t="inlineStr">
        <is>
          <t>바이오시밀러</t>
        </is>
      </c>
      <c r="G17" s="6" t="n"/>
      <c r="H17" s="5" t="inlineStr">
        <is>
          <t>원문 기술료 미기재</t>
        </is>
      </c>
    </row>
    <row r="18">
      <c r="A18" s="3" t="n">
        <v>16</v>
      </c>
      <c r="B18" s="4" t="n">
        <v>12</v>
      </c>
      <c r="C18" s="5" t="inlineStr">
        <is>
          <t>레고켐바이오</t>
        </is>
      </c>
      <c r="D18" s="5" t="inlineStr">
        <is>
          <t>피식스 온콜로지</t>
        </is>
      </c>
      <c r="E18" s="3" t="inlineStr">
        <is>
          <t>미국</t>
        </is>
      </c>
      <c r="F18" s="5" t="inlineStr">
        <is>
          <t>항체-약물 복합체(ADC) 기반 항암제</t>
        </is>
      </c>
      <c r="G18" s="6" t="n">
        <v>3255</v>
      </c>
      <c r="H18" s="5" t="inlineStr"/>
    </row>
    <row r="19">
      <c r="A19" s="7" t="inlineStr">
        <is>
          <t>합계</t>
        </is>
      </c>
      <c r="B19" s="8" t="n"/>
      <c r="C19" s="7">
        <f>COUNTA(C3:C18)&amp;"건"</f>
        <v/>
      </c>
      <c r="D19" s="8" t="n"/>
      <c r="E19" s="8" t="n"/>
      <c r="F19" s="8" t="n"/>
      <c r="G19" s="9">
        <f>SUM(G3:G18)</f>
        <v/>
      </c>
      <c r="H19" s="10">
        <f>"금액 공개 "&amp;COUNT(G3:G18)&amp;"건 합계"</f>
        <v/>
      </c>
    </row>
    <row r="21">
      <c r="A21" s="11" t="inlineStr">
        <is>
          <t>※ 기술료는 원문이 이미 억원 단위라 숫자만 입력함(계약 총 규모가 아니라 원문 표의 '기술료' 값).</t>
        </is>
      </c>
    </row>
    <row r="22">
      <c r="A22" s="11" t="inlineStr">
        <is>
          <t>※ 원문 '비고' 칸의 '국가 + 상대사' 표기를 계약상대 / 국가 두 열로 분리함.</t>
        </is>
      </c>
    </row>
    <row r="23">
      <c r="A23" s="11" t="inlineStr">
        <is>
          <t>※ 원문에 국가가 없던 건은 상대사 소재국으로 보완하고 비고에 표시(한미약품-MSD, JW홀딩스-산동뤄신제약그룹). 알테오젠·크리스탈지노믹스 건은 확인이 안 돼 빈칸으로 둠.</t>
        </is>
      </c>
    </row>
    <row r="24">
      <c r="A24" s="11" t="inlineStr">
        <is>
          <t>※ 이수앱지스, 이뮤니스바이오 2건은 원문에 금액이 없어 빈칸이며 합계에서 제외됨.</t>
        </is>
      </c>
    </row>
    <row r="25">
      <c r="A25" s="11" t="inlineStr">
        <is>
          <t>※ 일자는 월 숫자로 저장하고 표시 형식만 '○월'로 지정해 월 순 정렬이 되게 함.</t>
        </is>
      </c>
    </row>
  </sheetData>
  <autoFilter ref="A2:H18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2026-08-20T08:15:48Z</dcterms:created>
  <dcterms:modified xsi:type="dcterms:W3CDTF">2026-08-20T08:15:48Z</dcterms:modified>
</cp:coreProperties>
</file>