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최근3년(2022-2025)" sheetId="1" state="visible" r:id="rId1"/>
    <sheet name="2025년" sheetId="2" state="visible" r:id="rId2"/>
    <sheet name="2026년1-6월" sheetId="3" state="visible" r:id="rId3"/>
  </sheets>
  <definedNames>
    <definedName name="_xlnm._FilterDatabase" localSheetId="0" hidden="1">'최근3년(2022-2025)'!$A$2:$K$61</definedName>
    <definedName name="_xlnm._FilterDatabase" localSheetId="1" hidden="1">'2025년'!$A$2:$J$21</definedName>
    <definedName name="_xlnm._FilterDatabase" localSheetId="2" hidden="1">'2026년1-6월'!$A$2:$J$10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164" fontId="4" fillId="3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24" customWidth="1" min="4" max="4"/>
    <col width="18" customWidth="1" min="5" max="5"/>
    <col width="30" customWidth="1" min="6" max="6"/>
    <col width="44" customWidth="1" min="7" max="7"/>
    <col width="16" customWidth="1" min="8" max="8"/>
    <col width="16" customWidth="1" min="9" max="9"/>
    <col width="13" customWidth="1" min="10" max="10"/>
    <col width="52" customWidth="1" min="11" max="11"/>
  </cols>
  <sheetData>
    <row r="1" ht="22" customHeight="1">
      <c r="A1" s="1" t="inlineStr">
        <is>
          <t>최근 3년 새 K-바이오 기술수출 현황</t>
        </is>
      </c>
    </row>
    <row r="2" ht="30" customHeight="1">
      <c r="A2" s="2" t="inlineStr">
        <is>
          <t>연도</t>
        </is>
      </c>
      <c r="B2" s="2" t="inlineStr">
        <is>
          <t>일자</t>
        </is>
      </c>
      <c r="C2" s="2" t="inlineStr">
        <is>
          <t>개발사</t>
        </is>
      </c>
      <c r="D2" s="2" t="inlineStr">
        <is>
          <t>계약상대</t>
        </is>
      </c>
      <c r="E2" s="2" t="inlineStr">
        <is>
          <t>국가</t>
        </is>
      </c>
      <c r="F2" s="2" t="inlineStr">
        <is>
          <t>제품명(코드명)</t>
        </is>
      </c>
      <c r="G2" s="2" t="inlineStr">
        <is>
          <t>적응증</t>
        </is>
      </c>
      <c r="H2" s="2" t="inlineStr">
        <is>
          <t>계약규모(만달러)</t>
        </is>
      </c>
      <c r="I2" s="2" t="inlineStr">
        <is>
          <t>계약규모(억원)</t>
        </is>
      </c>
      <c r="J2" s="2" t="inlineStr">
        <is>
          <t>모달리티</t>
        </is>
      </c>
      <c r="K2" s="2" t="inlineStr">
        <is>
          <t>원문(계약규모)</t>
        </is>
      </c>
    </row>
    <row r="3">
      <c r="A3" s="3" t="inlineStr">
        <is>
          <t>2022</t>
        </is>
      </c>
      <c r="B3" s="3" t="inlineStr">
        <is>
          <t>01월 05일</t>
        </is>
      </c>
      <c r="C3" s="4" t="inlineStr">
        <is>
          <t>지씨셀</t>
        </is>
      </c>
      <c r="D3" s="4" t="inlineStr">
        <is>
          <t>리바라</t>
        </is>
      </c>
      <c r="E3" s="3" t="inlineStr">
        <is>
          <t>인도</t>
        </is>
      </c>
      <c r="F3" s="4" t="inlineStr">
        <is>
          <t>이뮨셀엘씨</t>
        </is>
      </c>
      <c r="G3" s="4" t="inlineStr">
        <is>
          <t>면역항암제</t>
        </is>
      </c>
      <c r="H3" s="5" t="n"/>
      <c r="I3" s="5" t="n"/>
      <c r="J3" s="4" t="inlineStr">
        <is>
          <t>세포유전자</t>
        </is>
      </c>
      <c r="K3" s="4" t="inlineStr">
        <is>
          <t>비공개</t>
        </is>
      </c>
    </row>
    <row r="4">
      <c r="A4" s="3" t="inlineStr">
        <is>
          <t>2022</t>
        </is>
      </c>
      <c r="B4" s="3" t="inlineStr">
        <is>
          <t>01월 11일</t>
        </is>
      </c>
      <c r="C4" s="4" t="inlineStr">
        <is>
          <t>에이비엘바이오</t>
        </is>
      </c>
      <c r="D4" s="4" t="inlineStr">
        <is>
          <t>사노피</t>
        </is>
      </c>
      <c r="E4" s="3" t="inlineStr">
        <is>
          <t>프랑스</t>
        </is>
      </c>
      <c r="F4" s="4" t="inlineStr">
        <is>
          <t>ABL301</t>
        </is>
      </c>
      <c r="G4" s="4" t="inlineStr">
        <is>
          <t>퇴행성뇌질환</t>
        </is>
      </c>
      <c r="H4" s="5" t="n">
        <v>106000</v>
      </c>
      <c r="I4" s="5" t="n">
        <v>12720</v>
      </c>
      <c r="J4" s="4" t="inlineStr">
        <is>
          <t>이중항체</t>
        </is>
      </c>
      <c r="K4" s="4" t="inlineStr">
        <is>
          <t>106,000만 달러 / 12,720억원</t>
        </is>
      </c>
    </row>
    <row r="5">
      <c r="A5" s="3" t="inlineStr">
        <is>
          <t>2022</t>
        </is>
      </c>
      <c r="B5" s="3" t="inlineStr">
        <is>
          <t>01월 19일</t>
        </is>
      </c>
      <c r="C5" s="4" t="inlineStr">
        <is>
          <t>종근당바이오</t>
        </is>
      </c>
      <c r="D5" s="4" t="inlineStr">
        <is>
          <t>큐티아테라퓨틱스</t>
        </is>
      </c>
      <c r="E5" s="3" t="inlineStr">
        <is>
          <t>중국</t>
        </is>
      </c>
      <c r="F5" s="4" t="inlineStr">
        <is>
          <t>타임버스(Tyemvers)</t>
        </is>
      </c>
      <c r="G5" s="4" t="inlineStr">
        <is>
          <t>보툴리눔 톡신</t>
        </is>
      </c>
      <c r="H5" s="5" t="n">
        <v>700</v>
      </c>
      <c r="I5" s="5" t="n">
        <v>83</v>
      </c>
      <c r="J5" s="4" t="inlineStr"/>
      <c r="K5" s="4" t="inlineStr">
        <is>
          <t>700만 달러 / 83억원</t>
        </is>
      </c>
    </row>
    <row r="6">
      <c r="A6" s="3" t="inlineStr">
        <is>
          <t>2022</t>
        </is>
      </c>
      <c r="B6" s="3" t="inlineStr">
        <is>
          <t>01월 25일</t>
        </is>
      </c>
      <c r="C6" s="4" t="inlineStr">
        <is>
          <t>이수앱지스</t>
        </is>
      </c>
      <c r="D6" s="4" t="inlineStr">
        <is>
          <t>NPO페트로박스팜</t>
        </is>
      </c>
      <c r="E6" s="3" t="inlineStr">
        <is>
          <t>러시아</t>
        </is>
      </c>
      <c r="F6" s="4" t="inlineStr">
        <is>
          <t>파바갈</t>
        </is>
      </c>
      <c r="G6" s="4" t="inlineStr">
        <is>
          <t>파브리병</t>
        </is>
      </c>
      <c r="H6" s="5" t="n"/>
      <c r="I6" s="5" t="n"/>
      <c r="J6" s="4" t="inlineStr">
        <is>
          <t>바이오시밀러</t>
        </is>
      </c>
      <c r="K6" s="4" t="inlineStr">
        <is>
          <t>비공개</t>
        </is>
      </c>
    </row>
    <row r="7">
      <c r="A7" s="3" t="inlineStr">
        <is>
          <t>2022</t>
        </is>
      </c>
      <c r="B7" s="3" t="inlineStr">
        <is>
          <t>02월 16일</t>
        </is>
      </c>
      <c r="C7" s="4" t="inlineStr">
        <is>
          <t>노벨티노빌리티</t>
        </is>
      </c>
      <c r="D7" s="4" t="inlineStr">
        <is>
          <t>발렌자바이오</t>
        </is>
      </c>
      <c r="E7" s="3" t="inlineStr">
        <is>
          <t>미국</t>
        </is>
      </c>
      <c r="F7" s="4" t="inlineStr">
        <is>
          <t>NN2802</t>
        </is>
      </c>
      <c r="G7" s="4" t="inlineStr">
        <is>
          <t>자가면역질환</t>
        </is>
      </c>
      <c r="H7" s="5" t="n">
        <v>73325</v>
      </c>
      <c r="I7" s="5" t="n">
        <v>8778</v>
      </c>
      <c r="J7" s="4" t="inlineStr">
        <is>
          <t>항체</t>
        </is>
      </c>
      <c r="K7" s="4" t="inlineStr">
        <is>
          <t>73,325만 달러 / 8,778억원</t>
        </is>
      </c>
    </row>
    <row r="8">
      <c r="A8" s="3" t="inlineStr">
        <is>
          <t>2022</t>
        </is>
      </c>
      <c r="B8" s="3" t="inlineStr">
        <is>
          <t>03월 24일</t>
        </is>
      </c>
      <c r="C8" s="4" t="inlineStr">
        <is>
          <t>제넥신</t>
        </is>
      </c>
      <c r="D8" s="4" t="inlineStr">
        <is>
          <t>KGBIO</t>
        </is>
      </c>
      <c r="E8" s="3" t="inlineStr">
        <is>
          <t>인도네시아</t>
        </is>
      </c>
      <c r="F8" s="4" t="inlineStr">
        <is>
          <t>GX-E4</t>
        </is>
      </c>
      <c r="G8" s="4" t="inlineStr">
        <is>
          <t>지속형 빈혈</t>
        </is>
      </c>
      <c r="H8" s="5" t="n">
        <v>1300</v>
      </c>
      <c r="I8" s="5" t="n">
        <v>159</v>
      </c>
      <c r="J8" s="4" t="inlineStr">
        <is>
          <t>DNA</t>
        </is>
      </c>
      <c r="K8" s="4" t="inlineStr">
        <is>
          <t>1,300만 달러 / 159억원</t>
        </is>
      </c>
    </row>
    <row r="9">
      <c r="A9" s="3" t="inlineStr">
        <is>
          <t>2022</t>
        </is>
      </c>
      <c r="B9" s="3" t="inlineStr">
        <is>
          <t>04월 12일</t>
        </is>
      </c>
      <c r="C9" s="4" t="inlineStr">
        <is>
          <t>코오롱생명과학</t>
        </is>
      </c>
      <c r="D9" s="4" t="inlineStr">
        <is>
          <t>주니퍼테라퓨틱스</t>
        </is>
      </c>
      <c r="E9" s="3" t="inlineStr">
        <is>
          <t>싱가포르</t>
        </is>
      </c>
      <c r="F9" s="4" t="inlineStr">
        <is>
          <t>TG-C</t>
        </is>
      </c>
      <c r="G9" s="4" t="inlineStr">
        <is>
          <t>골관절염</t>
        </is>
      </c>
      <c r="H9" s="5" t="n">
        <v>58718</v>
      </c>
      <c r="I9" s="5" t="n">
        <v>7234</v>
      </c>
      <c r="J9" s="4" t="inlineStr">
        <is>
          <t>유전자</t>
        </is>
      </c>
      <c r="K9" s="4" t="inlineStr">
        <is>
          <t>58,718만 달러 / 7,234억원</t>
        </is>
      </c>
    </row>
    <row r="10">
      <c r="A10" s="3" t="inlineStr">
        <is>
          <t>2022</t>
        </is>
      </c>
      <c r="B10" s="3" t="inlineStr">
        <is>
          <t>07월 14일</t>
        </is>
      </c>
      <c r="C10" s="4" t="inlineStr">
        <is>
          <t>SK바이오팜</t>
        </is>
      </c>
      <c r="D10" s="4" t="inlineStr">
        <is>
          <t>유로파마</t>
        </is>
      </c>
      <c r="E10" s="3" t="inlineStr">
        <is>
          <t>브라질</t>
        </is>
      </c>
      <c r="F10" s="4" t="inlineStr">
        <is>
          <t>세노바메이트</t>
        </is>
      </c>
      <c r="G10" s="4" t="inlineStr">
        <is>
          <t>뇌전증</t>
        </is>
      </c>
      <c r="H10" s="5" t="n">
        <v>6200</v>
      </c>
      <c r="I10" s="5" t="n">
        <v>810</v>
      </c>
      <c r="J10" s="4" t="inlineStr">
        <is>
          <t>저분자화합물</t>
        </is>
      </c>
      <c r="K10" s="4" t="inlineStr">
        <is>
          <t>6,200만 달러 / 810억원</t>
        </is>
      </c>
    </row>
    <row r="11">
      <c r="A11" s="3" t="inlineStr">
        <is>
          <t>2022</t>
        </is>
      </c>
      <c r="B11" s="3" t="inlineStr">
        <is>
          <t>08월 09일</t>
        </is>
      </c>
      <c r="C11" s="4" t="inlineStr">
        <is>
          <t>티움바이오</t>
        </is>
      </c>
      <c r="D11" s="4" t="inlineStr">
        <is>
          <t>한소제약</t>
        </is>
      </c>
      <c r="E11" s="3" t="inlineStr">
        <is>
          <t>중국</t>
        </is>
      </c>
      <c r="F11" s="4" t="inlineStr">
        <is>
          <t>TU2670</t>
        </is>
      </c>
      <c r="G11" s="4" t="inlineStr">
        <is>
          <t>자궁내막증</t>
        </is>
      </c>
      <c r="H11" s="5" t="n">
        <v>17000</v>
      </c>
      <c r="I11" s="5" t="n">
        <v>2208</v>
      </c>
      <c r="J11" s="4" t="inlineStr">
        <is>
          <t>저분자화합물</t>
        </is>
      </c>
      <c r="K11" s="4" t="inlineStr">
        <is>
          <t>17,000만 달러 / 2,208억원</t>
        </is>
      </c>
    </row>
    <row r="12">
      <c r="A12" s="3" t="inlineStr">
        <is>
          <t>2022</t>
        </is>
      </c>
      <c r="B12" s="3" t="inlineStr">
        <is>
          <t>09월 13일</t>
        </is>
      </c>
      <c r="C12" s="4" t="inlineStr">
        <is>
          <t>보로노이</t>
        </is>
      </c>
      <c r="D12" s="4" t="inlineStr">
        <is>
          <t>메티스 테라퓨틱스</t>
        </is>
      </c>
      <c r="E12" s="3" t="inlineStr">
        <is>
          <t>미국</t>
        </is>
      </c>
      <c r="F12" s="4" t="inlineStr">
        <is>
          <t>고형암치료신약 후보물질</t>
        </is>
      </c>
      <c r="G12" s="4" t="inlineStr">
        <is>
          <t>고형암(폐암, 흑색종, 대장암 등)</t>
        </is>
      </c>
      <c r="H12" s="5" t="n">
        <v>48220</v>
      </c>
      <c r="I12" s="5" t="n">
        <v>6680</v>
      </c>
      <c r="J12" s="4" t="inlineStr">
        <is>
          <t>저분자화합물</t>
        </is>
      </c>
      <c r="K12" s="4" t="inlineStr">
        <is>
          <t>48,220만 달러 / 6,680억원</t>
        </is>
      </c>
    </row>
    <row r="13">
      <c r="A13" s="3" t="inlineStr">
        <is>
          <t>2022</t>
        </is>
      </c>
      <c r="B13" s="3" t="inlineStr">
        <is>
          <t>09월 15일</t>
        </is>
      </c>
      <c r="C13" s="4" t="inlineStr">
        <is>
          <t>동아에스티</t>
        </is>
      </c>
      <c r="D13" s="4" t="inlineStr">
        <is>
          <t>뉴로보 파마슈티컬</t>
        </is>
      </c>
      <c r="E13" s="3" t="inlineStr">
        <is>
          <t>미국</t>
        </is>
      </c>
      <c r="F13" s="4" t="inlineStr">
        <is>
          <t>DA-1241, DA-1726</t>
        </is>
      </c>
      <c r="G13" s="4" t="inlineStr">
        <is>
          <t>당뇨 및 NASH(DA-1241), 비만 및 NASH(DA-1726)</t>
        </is>
      </c>
      <c r="H13" s="5" t="n">
        <v>33800</v>
      </c>
      <c r="I13" s="5" t="n">
        <v>4715</v>
      </c>
      <c r="J13" s="4" t="inlineStr">
        <is>
          <t>펩타이드</t>
        </is>
      </c>
      <c r="K13" s="4" t="inlineStr">
        <is>
          <t>33,800만 달러 / 4,715억원</t>
        </is>
      </c>
    </row>
    <row r="14">
      <c r="A14" s="3" t="inlineStr">
        <is>
          <t>2022</t>
        </is>
      </c>
      <c r="B14" s="3" t="inlineStr">
        <is>
          <t>09월 03일</t>
        </is>
      </c>
      <c r="C14" s="4" t="inlineStr">
        <is>
          <t>올리패스</t>
        </is>
      </c>
      <c r="D14" s="4" t="inlineStr">
        <is>
          <t>반다제약</t>
        </is>
      </c>
      <c r="E14" s="3" t="inlineStr">
        <is>
          <t>미국</t>
        </is>
      </c>
      <c r="F14" s="4" t="inlineStr">
        <is>
          <t>OliPass PNA 플랫폼</t>
        </is>
      </c>
      <c r="G14" s="4" t="inlineStr">
        <is>
          <t>희귀질환/면역항암제</t>
        </is>
      </c>
      <c r="H14" s="5" t="n">
        <v>300</v>
      </c>
      <c r="I14" s="5" t="n">
        <v>43</v>
      </c>
      <c r="J14" s="4" t="inlineStr">
        <is>
          <t>플랫폼</t>
        </is>
      </c>
      <c r="K14" s="4" t="inlineStr">
        <is>
          <t>300만 달러 / 43억원</t>
        </is>
      </c>
    </row>
    <row r="15">
      <c r="A15" s="3" t="inlineStr">
        <is>
          <t>2022</t>
        </is>
      </c>
      <c r="B15" s="3" t="inlineStr">
        <is>
          <t>11월 07일</t>
        </is>
      </c>
      <c r="C15" s="4" t="inlineStr">
        <is>
          <t>동아에스티</t>
        </is>
      </c>
      <c r="D15" s="4" t="inlineStr">
        <is>
          <t>폴리파마</t>
        </is>
      </c>
      <c r="E15" s="3" t="inlineStr">
        <is>
          <t>튀르키예</t>
        </is>
      </c>
      <c r="F15" s="4" t="inlineStr">
        <is>
          <t>DA-3880(다베포이틴 알파)</t>
        </is>
      </c>
      <c r="G15" s="4" t="inlineStr">
        <is>
          <t>빈혈치료제</t>
        </is>
      </c>
      <c r="H15" s="5" t="n"/>
      <c r="I15" s="5" t="n"/>
      <c r="J15" s="4" t="inlineStr">
        <is>
          <t>바이오시밀러</t>
        </is>
      </c>
      <c r="K15" s="4" t="inlineStr">
        <is>
          <t>비공개</t>
        </is>
      </c>
    </row>
    <row r="16">
      <c r="A16" s="3" t="inlineStr">
        <is>
          <t>2022</t>
        </is>
      </c>
      <c r="B16" s="3" t="inlineStr">
        <is>
          <t>12월 15일</t>
        </is>
      </c>
      <c r="C16" s="4" t="inlineStr">
        <is>
          <t>LG화학</t>
        </is>
      </c>
      <c r="D16" s="4" t="inlineStr">
        <is>
          <t>이노벤트바이오로직스</t>
        </is>
      </c>
      <c r="E16" s="3" t="inlineStr">
        <is>
          <t>중국</t>
        </is>
      </c>
      <c r="F16" s="4" t="inlineStr">
        <is>
          <t>티굴릭소스타트</t>
        </is>
      </c>
      <c r="G16" s="4" t="inlineStr">
        <is>
          <t>통풍치료제</t>
        </is>
      </c>
      <c r="H16" s="5" t="n">
        <v>9550</v>
      </c>
      <c r="I16" s="5" t="n">
        <v>1240</v>
      </c>
      <c r="J16" s="4" t="inlineStr">
        <is>
          <t>저분자화합물</t>
        </is>
      </c>
      <c r="K16" s="4" t="inlineStr">
        <is>
          <t>9,550만 달러 / 1,240억원</t>
        </is>
      </c>
    </row>
    <row r="17">
      <c r="A17" s="3" t="inlineStr">
        <is>
          <t>2022</t>
        </is>
      </c>
      <c r="B17" s="3" t="inlineStr">
        <is>
          <t>12월 23일</t>
        </is>
      </c>
      <c r="C17" s="4" t="inlineStr">
        <is>
          <t>레고켐바이오</t>
        </is>
      </c>
      <c r="D17" s="4" t="inlineStr">
        <is>
          <t>암젠</t>
        </is>
      </c>
      <c r="E17" s="3" t="inlineStr">
        <is>
          <t>미국</t>
        </is>
      </c>
      <c r="F17" s="4" t="inlineStr">
        <is>
          <t>항체약물복합체(ADC) 원천기술</t>
        </is>
      </c>
      <c r="G17" s="4" t="inlineStr">
        <is>
          <t>5개 타겟</t>
        </is>
      </c>
      <c r="H17" s="5" t="n">
        <v>124750</v>
      </c>
      <c r="I17" s="5" t="n">
        <v>16050</v>
      </c>
      <c r="J17" s="4" t="inlineStr">
        <is>
          <t>ADC</t>
        </is>
      </c>
      <c r="K17" s="4" t="inlineStr">
        <is>
          <t>124,750만 달러 / 16,050억원</t>
        </is>
      </c>
    </row>
    <row r="18">
      <c r="A18" s="3" t="inlineStr">
        <is>
          <t>2022</t>
        </is>
      </c>
      <c r="B18" s="3" t="inlineStr">
        <is>
          <t>12월 30일</t>
        </is>
      </c>
      <c r="C18" s="4" t="inlineStr">
        <is>
          <t>알테오젠</t>
        </is>
      </c>
      <c r="D18" s="4" t="inlineStr">
        <is>
          <t>산도즈AG</t>
        </is>
      </c>
      <c r="E18" s="3" t="inlineStr">
        <is>
          <t>스위스</t>
        </is>
      </c>
      <c r="F18" s="4" t="inlineStr">
        <is>
          <t>인간 히알루로니다제 원천기술(ALT-B4)</t>
        </is>
      </c>
      <c r="G18" s="4" t="inlineStr">
        <is>
          <t>정맥주사→피하주사 변환기술</t>
        </is>
      </c>
      <c r="H18" s="5" t="n">
        <v>1450</v>
      </c>
      <c r="I18" s="5" t="n">
        <v>1839</v>
      </c>
      <c r="J18" s="4" t="inlineStr">
        <is>
          <t>플랫폼</t>
        </is>
      </c>
      <c r="K18" s="4" t="inlineStr">
        <is>
          <t>1,450만 달러 / 1,839억원</t>
        </is>
      </c>
    </row>
    <row r="19">
      <c r="A19" s="3" t="inlineStr">
        <is>
          <t>2023</t>
        </is>
      </c>
      <c r="B19" s="3" t="inlineStr">
        <is>
          <t>01월 04일</t>
        </is>
      </c>
      <c r="C19" s="4" t="inlineStr">
        <is>
          <t>지씨셀</t>
        </is>
      </c>
      <c r="D19" s="4" t="inlineStr">
        <is>
          <t>아티바 바이오테라퓨틱스</t>
        </is>
      </c>
      <c r="E19" s="3" t="inlineStr">
        <is>
          <t>미국</t>
        </is>
      </c>
      <c r="F19" s="4" t="inlineStr">
        <is>
          <t>AB-205</t>
        </is>
      </c>
      <c r="G19" s="4" t="inlineStr">
        <is>
          <t>NK세포치료제</t>
        </is>
      </c>
      <c r="H19" s="5" t="n"/>
      <c r="I19" s="5" t="n"/>
      <c r="J19" s="4" t="inlineStr">
        <is>
          <t>세포유전자</t>
        </is>
      </c>
      <c r="K19" s="4" t="inlineStr">
        <is>
          <t>비공개</t>
        </is>
      </c>
    </row>
    <row r="20">
      <c r="A20" s="3" t="inlineStr">
        <is>
          <t>2023</t>
        </is>
      </c>
      <c r="B20" s="3" t="inlineStr">
        <is>
          <t>01월 17일</t>
        </is>
      </c>
      <c r="C20" s="4" t="inlineStr">
        <is>
          <t>이수앱지스</t>
        </is>
      </c>
      <c r="D20" s="4" t="inlineStr">
        <is>
          <t>알팜</t>
        </is>
      </c>
      <c r="E20" s="3" t="inlineStr">
        <is>
          <t>러시아</t>
        </is>
      </c>
      <c r="F20" s="4" t="inlineStr">
        <is>
          <t>ISU 106</t>
        </is>
      </c>
      <c r="G20" s="4" t="inlineStr">
        <is>
          <t>면역항암제</t>
        </is>
      </c>
      <c r="H20" s="5" t="n"/>
      <c r="I20" s="5" t="n"/>
      <c r="J20" s="4" t="inlineStr">
        <is>
          <t>바이오시밀러</t>
        </is>
      </c>
      <c r="K20" s="4" t="inlineStr">
        <is>
          <t>비공개</t>
        </is>
      </c>
    </row>
    <row r="21">
      <c r="A21" s="3" t="inlineStr">
        <is>
          <t>2023</t>
        </is>
      </c>
      <c r="B21" s="3" t="inlineStr">
        <is>
          <t>01월 18일</t>
        </is>
      </c>
      <c r="C21" s="4" t="inlineStr">
        <is>
          <t>진코어</t>
        </is>
      </c>
      <c r="D21" s="4" t="inlineStr">
        <is>
          <t>비공개</t>
        </is>
      </c>
      <c r="E21" s="3" t="inlineStr">
        <is>
          <t>비공개</t>
        </is>
      </c>
      <c r="F21" s="4" t="inlineStr">
        <is>
          <t>TaRGET(유전자가위 기술)</t>
        </is>
      </c>
      <c r="G21" s="4" t="inlineStr">
        <is>
          <t>유전자치료제</t>
        </is>
      </c>
      <c r="H21" s="5" t="n">
        <v>35000</v>
      </c>
      <c r="I21" s="5" t="n">
        <v>4348</v>
      </c>
      <c r="J21" s="4" t="inlineStr">
        <is>
          <t>세포유전자</t>
        </is>
      </c>
      <c r="K21" s="4" t="inlineStr">
        <is>
          <t>35,000만 달러 / 4,348억원</t>
        </is>
      </c>
    </row>
    <row r="22">
      <c r="A22" s="3" t="inlineStr">
        <is>
          <t>2023</t>
        </is>
      </c>
      <c r="B22" s="3" t="inlineStr">
        <is>
          <t>01월 24일</t>
        </is>
      </c>
      <c r="C22" s="4" t="inlineStr">
        <is>
          <t>HK이노엔</t>
        </is>
      </c>
      <c r="D22" s="4" t="inlineStr">
        <is>
          <t>유로파마</t>
        </is>
      </c>
      <c r="E22" s="3" t="inlineStr">
        <is>
          <t>브라질</t>
        </is>
      </c>
      <c r="F22" s="4" t="inlineStr">
        <is>
          <t>케이캡</t>
        </is>
      </c>
      <c r="G22" s="4" t="inlineStr">
        <is>
          <t>위식도역류질환</t>
        </is>
      </c>
      <c r="H22" s="5" t="n"/>
      <c r="I22" s="5" t="n"/>
      <c r="J22" s="4" t="inlineStr">
        <is>
          <t>저분자화합물</t>
        </is>
      </c>
      <c r="K22" s="4" t="inlineStr">
        <is>
          <t>비공개</t>
        </is>
      </c>
    </row>
    <row r="23">
      <c r="A23" s="3" t="inlineStr">
        <is>
          <t>2023</t>
        </is>
      </c>
      <c r="B23" s="3" t="inlineStr">
        <is>
          <t>01월 31일</t>
        </is>
      </c>
      <c r="C23" s="4" t="inlineStr">
        <is>
          <t>대웅제약</t>
        </is>
      </c>
      <c r="D23" s="4" t="inlineStr">
        <is>
          <t>CS파마슈티칼</t>
        </is>
      </c>
      <c r="E23" s="3" t="inlineStr">
        <is>
          <t>중국</t>
        </is>
      </c>
      <c r="F23" s="4" t="inlineStr">
        <is>
          <t>베르시포로신</t>
        </is>
      </c>
      <c r="G23" s="4" t="inlineStr">
        <is>
          <t>섬유증질환</t>
        </is>
      </c>
      <c r="H23" s="5" t="n">
        <v>33600</v>
      </c>
      <c r="I23" s="5" t="n">
        <v>4128</v>
      </c>
      <c r="J23" s="4" t="inlineStr">
        <is>
          <t>저분자화합물</t>
        </is>
      </c>
      <c r="K23" s="4" t="inlineStr">
        <is>
          <t>33,600만 달러 / 4,128억원</t>
        </is>
      </c>
    </row>
    <row r="24">
      <c r="A24" s="3" t="inlineStr">
        <is>
          <t>2023</t>
        </is>
      </c>
      <c r="B24" s="3" t="inlineStr">
        <is>
          <t>02월 24일</t>
        </is>
      </c>
      <c r="C24" s="4" t="inlineStr">
        <is>
          <t>대웅제약</t>
        </is>
      </c>
      <c r="D24" s="4" t="inlineStr">
        <is>
          <t>목샤8</t>
        </is>
      </c>
      <c r="E24" s="3" t="inlineStr">
        <is>
          <t>브라질</t>
        </is>
      </c>
      <c r="F24" s="4" t="inlineStr">
        <is>
          <t>엔블로정</t>
        </is>
      </c>
      <c r="G24" s="4" t="inlineStr">
        <is>
          <t>당뇨병</t>
        </is>
      </c>
      <c r="H24" s="5" t="n">
        <v>8436</v>
      </c>
      <c r="I24" s="5" t="n">
        <v>1082</v>
      </c>
      <c r="J24" s="4" t="inlineStr">
        <is>
          <t>저분자화합물</t>
        </is>
      </c>
      <c r="K24" s="4" t="inlineStr">
        <is>
          <t>8,436만 달러 / 1,082억원</t>
        </is>
      </c>
    </row>
    <row r="25">
      <c r="A25" s="3" t="inlineStr">
        <is>
          <t>2023</t>
        </is>
      </c>
      <c r="B25" s="3" t="inlineStr">
        <is>
          <t>03월 02일</t>
        </is>
      </c>
      <c r="C25" s="4" t="inlineStr">
        <is>
          <t>차바이오텍</t>
        </is>
      </c>
      <c r="D25" s="4" t="inlineStr">
        <is>
          <t>아스텔라스 재생의학센터</t>
        </is>
      </c>
      <c r="E25" s="3" t="inlineStr">
        <is>
          <t>일본</t>
        </is>
      </c>
      <c r="F25" s="4" t="inlineStr">
        <is>
          <t>망막색소상피세포 및 배아세포</t>
        </is>
      </c>
      <c r="G25" s="4" t="inlineStr">
        <is>
          <t>황반변성 등</t>
        </is>
      </c>
      <c r="H25" s="5" t="n">
        <v>3200</v>
      </c>
      <c r="I25" s="5" t="n">
        <v>430</v>
      </c>
      <c r="J25" s="4" t="inlineStr">
        <is>
          <t>세포유전자</t>
        </is>
      </c>
      <c r="K25" s="4" t="inlineStr">
        <is>
          <t>3,200만 달러 / 430억원</t>
        </is>
      </c>
    </row>
    <row r="26">
      <c r="A26" s="3" t="inlineStr">
        <is>
          <t>2023</t>
        </is>
      </c>
      <c r="B26" s="3" t="inlineStr">
        <is>
          <t>03월 10일</t>
        </is>
      </c>
      <c r="C26" s="4" t="inlineStr">
        <is>
          <t>온코닉테라퓨틱스</t>
        </is>
      </c>
      <c r="D26" s="4" t="inlineStr">
        <is>
          <t>리브존파마슈티컬</t>
        </is>
      </c>
      <c r="E26" s="3" t="inlineStr">
        <is>
          <t>중국</t>
        </is>
      </c>
      <c r="F26" s="4" t="inlineStr">
        <is>
          <t>자스타프라잔</t>
        </is>
      </c>
      <c r="G26" s="4" t="inlineStr">
        <is>
          <t>위식도역류질환</t>
        </is>
      </c>
      <c r="H26" s="5" t="n">
        <v>12750</v>
      </c>
      <c r="I26" s="5" t="n">
        <v>1600</v>
      </c>
      <c r="J26" s="4" t="inlineStr">
        <is>
          <t>저분자화합물</t>
        </is>
      </c>
      <c r="K26" s="4" t="inlineStr">
        <is>
          <t>12,750만 달러 / 1,600억원</t>
        </is>
      </c>
    </row>
    <row r="27">
      <c r="A27" s="3" t="inlineStr">
        <is>
          <t>2023</t>
        </is>
      </c>
      <c r="B27" s="3" t="inlineStr">
        <is>
          <t>03월 27일</t>
        </is>
      </c>
      <c r="C27" s="4" t="inlineStr">
        <is>
          <t>바이오오케스트라</t>
        </is>
      </c>
      <c r="D27" s="4" t="inlineStr">
        <is>
          <t>비공개</t>
        </is>
      </c>
      <c r="E27" s="3" t="inlineStr">
        <is>
          <t>비공개</t>
        </is>
      </c>
      <c r="F27" s="4" t="inlineStr">
        <is>
          <t>BDDS(뇌 표적 고분자 기반 약물전달체 기술)</t>
        </is>
      </c>
      <c r="G27" s="4" t="inlineStr">
        <is>
          <t>퇴행성 뇌질환</t>
        </is>
      </c>
      <c r="H27" s="5" t="n">
        <v>86100</v>
      </c>
      <c r="I27" s="5" t="n">
        <v>11050</v>
      </c>
      <c r="J27" s="4" t="inlineStr">
        <is>
          <t>저분자화합물</t>
        </is>
      </c>
      <c r="K27" s="4" t="inlineStr">
        <is>
          <t>86,100만 달러 / 11,050억원</t>
        </is>
      </c>
    </row>
    <row r="28">
      <c r="A28" s="3" t="inlineStr">
        <is>
          <t>2023</t>
        </is>
      </c>
      <c r="B28" s="3" t="inlineStr">
        <is>
          <t>04월 20일</t>
        </is>
      </c>
      <c r="C28" s="4" t="inlineStr">
        <is>
          <t>카이노스메드</t>
        </is>
      </c>
      <c r="D28" s="4" t="inlineStr">
        <is>
          <t>장수아이디</t>
        </is>
      </c>
      <c r="E28" s="3" t="inlineStr">
        <is>
          <t>중국</t>
        </is>
      </c>
      <c r="F28" s="4" t="inlineStr">
        <is>
          <t>KM-023</t>
        </is>
      </c>
      <c r="G28" s="4" t="inlineStr">
        <is>
          <t>에이즈치료제</t>
        </is>
      </c>
      <c r="H28" s="5" t="n"/>
      <c r="I28" s="5" t="n"/>
      <c r="J28" s="4" t="inlineStr">
        <is>
          <t>저분자화합물</t>
        </is>
      </c>
      <c r="K28" s="4" t="inlineStr">
        <is>
          <t>매출액 대비 로열티</t>
        </is>
      </c>
    </row>
    <row r="29">
      <c r="A29" s="3" t="inlineStr">
        <is>
          <t>2023</t>
        </is>
      </c>
      <c r="B29" s="3" t="inlineStr">
        <is>
          <t>04월 28일</t>
        </is>
      </c>
      <c r="C29" s="4" t="inlineStr">
        <is>
          <t>대웅제약</t>
        </is>
      </c>
      <c r="D29" s="4" t="inlineStr">
        <is>
          <t>비탈리바이오</t>
        </is>
      </c>
      <c r="E29" s="3" t="inlineStr">
        <is>
          <t>미국</t>
        </is>
      </c>
      <c r="F29" s="4" t="inlineStr">
        <is>
          <t>DWP213388</t>
        </is>
      </c>
      <c r="G29" s="4" t="inlineStr">
        <is>
          <t>자가면역질환</t>
        </is>
      </c>
      <c r="H29" s="5" t="n">
        <v>47700</v>
      </c>
      <c r="I29" s="5" t="n">
        <v>6391</v>
      </c>
      <c r="J29" s="4" t="inlineStr">
        <is>
          <t>저분자화합물</t>
        </is>
      </c>
      <c r="K29" s="4" t="inlineStr">
        <is>
          <t>47,700만 달러 / 6,391억원</t>
        </is>
      </c>
    </row>
    <row r="30">
      <c r="A30" s="3" t="inlineStr">
        <is>
          <t>2023</t>
        </is>
      </c>
      <c r="B30" s="3" t="inlineStr">
        <is>
          <t>05월 중</t>
        </is>
      </c>
      <c r="C30" s="4" t="inlineStr">
        <is>
          <t>이뮨오포지</t>
        </is>
      </c>
      <c r="D30" s="4" t="inlineStr">
        <is>
          <t>비공개</t>
        </is>
      </c>
      <c r="E30" s="3" t="inlineStr">
        <is>
          <t>비공개</t>
        </is>
      </c>
      <c r="F30" s="4" t="inlineStr">
        <is>
          <t>비공개</t>
        </is>
      </c>
      <c r="G30" s="4" t="inlineStr">
        <is>
          <t>비공개</t>
        </is>
      </c>
      <c r="H30" s="5" t="n"/>
      <c r="I30" s="5" t="n"/>
      <c r="J30" s="4" t="inlineStr"/>
      <c r="K30" s="4" t="inlineStr">
        <is>
          <t>비공개</t>
        </is>
      </c>
    </row>
    <row r="31">
      <c r="A31" s="3" t="inlineStr">
        <is>
          <t>2023</t>
        </is>
      </c>
      <c r="B31" s="3" t="inlineStr">
        <is>
          <t>08월 17일</t>
        </is>
      </c>
      <c r="C31" s="4" t="inlineStr">
        <is>
          <t>SK바이오팜</t>
        </is>
      </c>
      <c r="D31" s="4" t="inlineStr">
        <is>
          <t>히크마MENA FZE</t>
        </is>
      </c>
      <c r="E31" s="3" t="inlineStr">
        <is>
          <t>중동</t>
        </is>
      </c>
      <c r="F31" s="4" t="inlineStr">
        <is>
          <t>세노바메이트</t>
        </is>
      </c>
      <c r="G31" s="4" t="inlineStr">
        <is>
          <t>뇌전증치료제</t>
        </is>
      </c>
      <c r="H31" s="5" t="n">
        <v>2300</v>
      </c>
      <c r="I31" s="5" t="n">
        <v>307</v>
      </c>
      <c r="J31" s="4" t="inlineStr">
        <is>
          <t>저분자화합물</t>
        </is>
      </c>
      <c r="K31" s="4" t="inlineStr">
        <is>
          <t>2,300만 달러 / 307억원</t>
        </is>
      </c>
    </row>
    <row r="32">
      <c r="A32" s="3" t="inlineStr">
        <is>
          <t>2023</t>
        </is>
      </c>
      <c r="B32" s="3" t="inlineStr">
        <is>
          <t>09월 06일</t>
        </is>
      </c>
      <c r="C32" s="4" t="inlineStr">
        <is>
          <t>한국유나이티드제약</t>
        </is>
      </c>
      <c r="D32" s="4" t="inlineStr">
        <is>
          <t>MCQ</t>
        </is>
      </c>
      <c r="E32" s="3" t="inlineStr">
        <is>
          <t>태국</t>
        </is>
      </c>
      <c r="F32" s="4" t="inlineStr">
        <is>
          <t>레보틱스CR정</t>
        </is>
      </c>
      <c r="G32" s="4" t="inlineStr">
        <is>
          <t>진해거담제</t>
        </is>
      </c>
      <c r="H32" s="5" t="n">
        <v>5200</v>
      </c>
      <c r="I32" s="5" t="n">
        <v>696</v>
      </c>
      <c r="J32" s="4" t="inlineStr">
        <is>
          <t>제네릭</t>
        </is>
      </c>
      <c r="K32" s="4" t="inlineStr">
        <is>
          <t>5,200만 달러 / 696억원</t>
        </is>
      </c>
    </row>
    <row r="33">
      <c r="A33" s="3" t="inlineStr">
        <is>
          <t>2023</t>
        </is>
      </c>
      <c r="B33" s="3" t="inlineStr">
        <is>
          <t>10월 16일</t>
        </is>
      </c>
      <c r="C33" s="4" t="inlineStr">
        <is>
          <t>지아이이노베이션</t>
        </is>
      </c>
      <c r="D33" s="4" t="inlineStr">
        <is>
          <t>마루호</t>
        </is>
      </c>
      <c r="E33" s="3" t="inlineStr">
        <is>
          <t>일본</t>
        </is>
      </c>
      <c r="F33" s="4" t="inlineStr">
        <is>
          <t>GI-301</t>
        </is>
      </c>
      <c r="G33" s="4" t="inlineStr">
        <is>
          <t>피부질환</t>
        </is>
      </c>
      <c r="H33" s="5" t="n">
        <v>22942</v>
      </c>
      <c r="I33" s="5" t="n">
        <v>2980</v>
      </c>
      <c r="J33" s="4" t="inlineStr">
        <is>
          <t>항체</t>
        </is>
      </c>
      <c r="K33" s="4" t="inlineStr">
        <is>
          <t>22,942만 달러 / 2,980억원</t>
        </is>
      </c>
    </row>
    <row r="34">
      <c r="A34" s="3" t="inlineStr">
        <is>
          <t>2023</t>
        </is>
      </c>
      <c r="B34" s="3" t="inlineStr">
        <is>
          <t>11월 06일</t>
        </is>
      </c>
      <c r="C34" s="4" t="inlineStr">
        <is>
          <t>종근당</t>
        </is>
      </c>
      <c r="D34" s="4" t="inlineStr">
        <is>
          <t>노바티스</t>
        </is>
      </c>
      <c r="E34" s="3" t="inlineStr">
        <is>
          <t>스위스</t>
        </is>
      </c>
      <c r="F34" s="4" t="inlineStr">
        <is>
          <t>CKD-510</t>
        </is>
      </c>
      <c r="G34" s="4" t="inlineStr">
        <is>
          <t>HDAC6 억제제</t>
        </is>
      </c>
      <c r="H34" s="5" t="n">
        <v>130500</v>
      </c>
      <c r="I34" s="5" t="n">
        <v>17300</v>
      </c>
      <c r="J34" s="4" t="inlineStr">
        <is>
          <t>저분자화합물</t>
        </is>
      </c>
      <c r="K34" s="4" t="inlineStr">
        <is>
          <t>130,500만 달러 / 17,300억원</t>
        </is>
      </c>
    </row>
    <row r="35">
      <c r="A35" s="3" t="inlineStr">
        <is>
          <t>2023</t>
        </is>
      </c>
      <c r="B35" s="3" t="inlineStr">
        <is>
          <t>11월 06일</t>
        </is>
      </c>
      <c r="C35" s="4" t="inlineStr">
        <is>
          <t>오름테라퓨틱스</t>
        </is>
      </c>
      <c r="D35" s="4" t="inlineStr">
        <is>
          <t>BMS</t>
        </is>
      </c>
      <c r="E35" s="3" t="inlineStr">
        <is>
          <t>미국</t>
        </is>
      </c>
      <c r="F35" s="4" t="inlineStr">
        <is>
          <t>ORM-6151</t>
        </is>
      </c>
      <c r="G35" s="4" t="inlineStr">
        <is>
          <t>CD33 항체 기반 GSPT1 단백질 분해제</t>
        </is>
      </c>
      <c r="H35" s="5" t="n">
        <v>18000</v>
      </c>
      <c r="I35" s="5" t="n">
        <v>2340</v>
      </c>
      <c r="J35" s="4" t="inlineStr">
        <is>
          <t>TPD</t>
        </is>
      </c>
      <c r="K35" s="4" t="inlineStr">
        <is>
          <t>18,000만 달러 / 2,340억원</t>
        </is>
      </c>
    </row>
    <row r="36">
      <c r="A36" s="3" t="inlineStr">
        <is>
          <t>2023</t>
        </is>
      </c>
      <c r="B36" s="3" t="inlineStr">
        <is>
          <t>12월 22일</t>
        </is>
      </c>
      <c r="C36" s="4" t="inlineStr">
        <is>
          <t>피노바이오</t>
        </is>
      </c>
      <c r="D36" s="4" t="inlineStr">
        <is>
          <t>컨쥬게이트바이오</t>
        </is>
      </c>
      <c r="E36" s="3" t="inlineStr">
        <is>
          <t>미국</t>
        </is>
      </c>
      <c r="F36" s="4" t="inlineStr">
        <is>
          <t>ADC 플랫폼</t>
        </is>
      </c>
      <c r="G36" s="4" t="inlineStr">
        <is>
          <t>항체약물접합체(ADC) 플랫폼</t>
        </is>
      </c>
      <c r="H36" s="5" t="n">
        <v>25000</v>
      </c>
      <c r="I36" s="5" t="n">
        <v>3200</v>
      </c>
      <c r="J36" s="4" t="inlineStr">
        <is>
          <t>ADC</t>
        </is>
      </c>
      <c r="K36" s="4" t="inlineStr">
        <is>
          <t>25,000만 달러 / 3,200억원</t>
        </is>
      </c>
    </row>
    <row r="37">
      <c r="A37" s="3" t="inlineStr">
        <is>
          <t>2023</t>
        </is>
      </c>
      <c r="B37" s="3" t="inlineStr">
        <is>
          <t>12월 26일</t>
        </is>
      </c>
      <c r="C37" s="4" t="inlineStr">
        <is>
          <t>레고켐바이오</t>
        </is>
      </c>
      <c r="D37" s="4" t="inlineStr">
        <is>
          <t>얀센</t>
        </is>
      </c>
      <c r="E37" s="3" t="inlineStr">
        <is>
          <t>미국</t>
        </is>
      </c>
      <c r="F37" s="4" t="inlineStr">
        <is>
          <t>LCB84</t>
        </is>
      </c>
      <c r="G37" s="4" t="inlineStr">
        <is>
          <t>항체약물접합체(ADC) 항암제</t>
        </is>
      </c>
      <c r="H37" s="5" t="n">
        <v>154655</v>
      </c>
      <c r="I37" s="5" t="n">
        <v>22400</v>
      </c>
      <c r="J37" s="4" t="inlineStr">
        <is>
          <t>ADC</t>
        </is>
      </c>
      <c r="K37" s="4" t="inlineStr">
        <is>
          <t>154,655만 달러 / 22,400억원</t>
        </is>
      </c>
    </row>
    <row r="38">
      <c r="A38" s="3" t="inlineStr">
        <is>
          <t>2024</t>
        </is>
      </c>
      <c r="B38" s="3" t="inlineStr">
        <is>
          <t>01월 05일</t>
        </is>
      </c>
      <c r="C38" s="4" t="inlineStr">
        <is>
          <t>LG화학</t>
        </is>
      </c>
      <c r="D38" s="4" t="inlineStr">
        <is>
          <t>리듬파마슈티컬스</t>
        </is>
      </c>
      <c r="E38" s="3" t="inlineStr">
        <is>
          <t>미국</t>
        </is>
      </c>
      <c r="F38" s="4" t="inlineStr">
        <is>
          <t>LB54640</t>
        </is>
      </c>
      <c r="G38" s="4" t="inlineStr">
        <is>
          <t>희귀비만증</t>
        </is>
      </c>
      <c r="H38" s="5" t="n">
        <v>30500</v>
      </c>
      <c r="I38" s="5" t="n">
        <v>4000</v>
      </c>
      <c r="J38" s="4" t="inlineStr">
        <is>
          <t>저분자화합물</t>
        </is>
      </c>
      <c r="K38" s="4" t="inlineStr">
        <is>
          <t>3억 500만 달러 / 약 4,000억원</t>
        </is>
      </c>
    </row>
    <row r="39">
      <c r="A39" s="3" t="inlineStr">
        <is>
          <t>2024</t>
        </is>
      </c>
      <c r="B39" s="3" t="inlineStr">
        <is>
          <t>02월 22일</t>
        </is>
      </c>
      <c r="C39" s="4" t="inlineStr">
        <is>
          <t>알테오젠</t>
        </is>
      </c>
      <c r="D39" s="4" t="inlineStr">
        <is>
          <t>MSD</t>
        </is>
      </c>
      <c r="E39" s="3" t="inlineStr">
        <is>
          <t>미국</t>
        </is>
      </c>
      <c r="F39" s="4" t="inlineStr">
        <is>
          <t>ALT-B4</t>
        </is>
      </c>
      <c r="G39" s="4" t="inlineStr">
        <is>
          <t>항 PD-1 치료제 펨브롤리주맙의 피하주형 제품 상업화를 위한 플랫폼</t>
        </is>
      </c>
      <c r="H39" s="5" t="n">
        <v>43200</v>
      </c>
      <c r="I39" s="5" t="n">
        <v>5750</v>
      </c>
      <c r="J39" s="4" t="inlineStr">
        <is>
          <t>플랫폼</t>
        </is>
      </c>
      <c r="K39" s="4" t="inlineStr">
        <is>
          <t>4억 3,200만 달러 / 약 5,750억원</t>
        </is>
      </c>
    </row>
    <row r="40">
      <c r="A40" s="3" t="inlineStr">
        <is>
          <t>2024</t>
        </is>
      </c>
      <c r="B40" s="3" t="inlineStr">
        <is>
          <t>03월 04일</t>
        </is>
      </c>
      <c r="C40" s="4" t="inlineStr">
        <is>
          <t>넥스아이</t>
        </is>
      </c>
      <c r="D40" s="4" t="inlineStr">
        <is>
          <t>오노약품공업</t>
        </is>
      </c>
      <c r="E40" s="3" t="inlineStr">
        <is>
          <t>일본</t>
        </is>
      </c>
      <c r="F40" s="4" t="inlineStr">
        <is>
          <t>NXI-101</t>
        </is>
      </c>
      <c r="G40" s="4" t="inlineStr">
        <is>
          <t>면역항암제</t>
        </is>
      </c>
      <c r="H40" s="5" t="n"/>
      <c r="I40" s="5" t="n"/>
      <c r="J40" s="4" t="inlineStr">
        <is>
          <t>항체</t>
        </is>
      </c>
      <c r="K40" s="4" t="inlineStr">
        <is>
          <t>비공개</t>
        </is>
      </c>
    </row>
    <row r="41">
      <c r="A41" s="3" t="inlineStr">
        <is>
          <t>2024</t>
        </is>
      </c>
      <c r="B41" s="3" t="inlineStr">
        <is>
          <t>03월 25일</t>
        </is>
      </c>
      <c r="C41" s="4" t="inlineStr">
        <is>
          <t>아리바이오</t>
        </is>
      </c>
      <c r="D41" s="4" t="inlineStr">
        <is>
          <t>비공개</t>
        </is>
      </c>
      <c r="E41" s="3" t="inlineStr">
        <is>
          <t>중국</t>
        </is>
      </c>
      <c r="F41" s="4" t="inlineStr">
        <is>
          <t>AR1001</t>
        </is>
      </c>
      <c r="G41" s="4" t="inlineStr">
        <is>
          <t>경구용 치매치료제</t>
        </is>
      </c>
      <c r="H41" s="5" t="n">
        <v>77000</v>
      </c>
      <c r="I41" s="5" t="n">
        <v>13200</v>
      </c>
      <c r="J41" s="4" t="inlineStr">
        <is>
          <t>저분자화합물</t>
        </is>
      </c>
      <c r="K41" s="4" t="inlineStr">
        <is>
          <t>7억 7,000만 달러 / 약 1조 3,200억원</t>
        </is>
      </c>
    </row>
    <row r="42">
      <c r="A42" s="3" t="inlineStr">
        <is>
          <t>2024</t>
        </is>
      </c>
      <c r="B42" s="3" t="inlineStr">
        <is>
          <t>04월 18일</t>
        </is>
      </c>
      <c r="C42" s="4" t="inlineStr">
        <is>
          <t>SK바이오팜</t>
        </is>
      </c>
      <c r="D42" s="4" t="inlineStr">
        <is>
          <t>이그니스 테라퓨틱스</t>
        </is>
      </c>
      <c r="E42" s="3" t="inlineStr">
        <is>
          <t>중국</t>
        </is>
      </c>
      <c r="F42" s="4" t="inlineStr">
        <is>
          <t>SKL22544</t>
        </is>
      </c>
      <c r="G42" s="4" t="inlineStr">
        <is>
          <t>소듐채널 저해제 작용기전으로 하는 비마약성 통증 치료</t>
        </is>
      </c>
      <c r="H42" s="5" t="n">
        <v>5800</v>
      </c>
      <c r="I42" s="5" t="n">
        <v>804</v>
      </c>
      <c r="J42" s="4" t="inlineStr">
        <is>
          <t>저분자화합물</t>
        </is>
      </c>
      <c r="K42" s="4" t="inlineStr">
        <is>
          <t>5,800만 달러 / 약 804억원</t>
        </is>
      </c>
    </row>
    <row r="43">
      <c r="A43" s="3" t="inlineStr">
        <is>
          <t>2024</t>
        </is>
      </c>
      <c r="B43" s="3" t="inlineStr">
        <is>
          <t>06월 03일</t>
        </is>
      </c>
      <c r="C43" s="4" t="inlineStr">
        <is>
          <t>지놈앤컴퍼니</t>
        </is>
      </c>
      <c r="D43" s="4" t="inlineStr">
        <is>
          <t>디바이오팜</t>
        </is>
      </c>
      <c r="E43" s="3" t="inlineStr">
        <is>
          <t>스위스</t>
        </is>
      </c>
      <c r="F43" s="4" t="inlineStr">
        <is>
          <t>GENA-111</t>
        </is>
      </c>
      <c r="G43" s="4" t="inlineStr">
        <is>
          <t>신규 타깃 CD239 타깃 ADC용 항체</t>
        </is>
      </c>
      <c r="H43" s="5" t="n">
        <v>42600</v>
      </c>
      <c r="I43" s="5" t="n">
        <v>5860</v>
      </c>
      <c r="J43" s="4" t="inlineStr">
        <is>
          <t>항체</t>
        </is>
      </c>
      <c r="K43" s="4" t="inlineStr">
        <is>
          <t>4억 2,600만 달러 / 약 5,860억원</t>
        </is>
      </c>
    </row>
    <row r="44">
      <c r="A44" s="3" t="inlineStr">
        <is>
          <t>2024</t>
        </is>
      </c>
      <c r="B44" s="3" t="inlineStr">
        <is>
          <t>06월 17일</t>
        </is>
      </c>
      <c r="C44" s="4" t="inlineStr">
        <is>
          <t>HK이노엔, 아이엠바이오로직스, 와이바이오로직스</t>
        </is>
      </c>
      <c r="D44" s="4" t="inlineStr">
        <is>
          <t>내비게이터 메디신</t>
        </is>
      </c>
      <c r="E44" s="3" t="inlineStr">
        <is>
          <t>미국</t>
        </is>
      </c>
      <c r="F44" s="4" t="inlineStr">
        <is>
          <t>IMB-101</t>
        </is>
      </c>
      <c r="G44" s="4" t="inlineStr">
        <is>
          <t>OX401, TNF-a 이중항체</t>
        </is>
      </c>
      <c r="H44" s="5" t="n">
        <v>94000</v>
      </c>
      <c r="I44" s="5" t="n">
        <v>13000</v>
      </c>
      <c r="J44" s="4" t="inlineStr">
        <is>
          <t>이중항체</t>
        </is>
      </c>
      <c r="K44" s="4" t="inlineStr">
        <is>
          <t>9억 4,000만 달러 / 약 1조 3,000억원</t>
        </is>
      </c>
    </row>
    <row r="45">
      <c r="A45" s="3" t="inlineStr">
        <is>
          <t>2024</t>
        </is>
      </c>
      <c r="B45" s="3" t="inlineStr">
        <is>
          <t>06월 20일</t>
        </is>
      </c>
      <c r="C45" s="4" t="inlineStr">
        <is>
          <t>에이프릴바이오</t>
        </is>
      </c>
      <c r="D45" s="4" t="inlineStr">
        <is>
          <t>에보뮨</t>
        </is>
      </c>
      <c r="E45" s="3" t="inlineStr">
        <is>
          <t>미국</t>
        </is>
      </c>
      <c r="F45" s="4" t="inlineStr">
        <is>
          <t>APB-R3</t>
        </is>
      </c>
      <c r="G45" s="4" t="inlineStr">
        <is>
          <t>자가염증질환치료제(항체)</t>
        </is>
      </c>
      <c r="H45" s="5" t="n">
        <v>47500</v>
      </c>
      <c r="I45" s="5" t="n">
        <v>6550</v>
      </c>
      <c r="J45" s="4" t="inlineStr">
        <is>
          <t>항체</t>
        </is>
      </c>
      <c r="K45" s="4" t="inlineStr">
        <is>
          <t>4억 7,500만 달러 / 약 6,550억원</t>
        </is>
      </c>
    </row>
    <row r="46">
      <c r="A46" s="3" t="inlineStr">
        <is>
          <t>2024</t>
        </is>
      </c>
      <c r="B46" s="3" t="inlineStr">
        <is>
          <t>06월 28일</t>
        </is>
      </c>
      <c r="C46" s="4" t="inlineStr">
        <is>
          <t>이수앱지스</t>
        </is>
      </c>
      <c r="D46" s="4" t="inlineStr">
        <is>
          <t>비공개</t>
        </is>
      </c>
      <c r="E46" s="3" t="inlineStr">
        <is>
          <t>미국</t>
        </is>
      </c>
      <c r="F46" s="4" t="inlineStr">
        <is>
          <t>ISU-104</t>
        </is>
      </c>
      <c r="G46" s="4" t="inlineStr">
        <is>
          <t>ErbB3 타깃 항암(항체)</t>
        </is>
      </c>
      <c r="H46" s="5" t="n">
        <v>8550</v>
      </c>
      <c r="I46" s="5" t="n">
        <v>1200</v>
      </c>
      <c r="J46" s="4" t="inlineStr">
        <is>
          <t>항체</t>
        </is>
      </c>
      <c r="K46" s="4" t="inlineStr">
        <is>
          <t>8,550만 달러 / 약 1,200억원</t>
        </is>
      </c>
    </row>
    <row r="47">
      <c r="A47" s="3" t="inlineStr">
        <is>
          <t>2024</t>
        </is>
      </c>
      <c r="B47" s="3" t="inlineStr">
        <is>
          <t>07월 16일</t>
        </is>
      </c>
      <c r="C47" s="4" t="inlineStr">
        <is>
          <t>오름테라퓨틱</t>
        </is>
      </c>
      <c r="D47" s="4" t="inlineStr">
        <is>
          <t>버텍스파마슈티컬스</t>
        </is>
      </c>
      <c r="E47" s="3" t="inlineStr">
        <is>
          <t>미국</t>
        </is>
      </c>
      <c r="F47" s="4" t="inlineStr">
        <is>
          <t>TPD²</t>
        </is>
      </c>
      <c r="G47" s="4" t="inlineStr">
        <is>
          <t>TPD를 ADC에 접목한 차세대 기술. '전처치제' 개발</t>
        </is>
      </c>
      <c r="H47" s="5" t="n">
        <v>94500</v>
      </c>
      <c r="I47" s="5" t="n">
        <v>13000</v>
      </c>
      <c r="J47" s="4" t="inlineStr">
        <is>
          <t>TPD</t>
        </is>
      </c>
      <c r="K47" s="4" t="inlineStr">
        <is>
          <t>9억 4,500만 달러(선급금 1,500만 + 개발단계별 3개 타깃 각 3억 1,000만 달러) / 약 1조 3,000억원</t>
        </is>
      </c>
    </row>
    <row r="48">
      <c r="A48" s="3" t="inlineStr">
        <is>
          <t>2024</t>
        </is>
      </c>
      <c r="B48" s="3" t="inlineStr">
        <is>
          <t>08월 17일</t>
        </is>
      </c>
      <c r="C48" s="4" t="inlineStr">
        <is>
          <t>HK이노엔, 아이엠바이오로직스, 와이바이오로직스</t>
        </is>
      </c>
      <c r="D48" s="4" t="inlineStr">
        <is>
          <t>화동제약</t>
        </is>
      </c>
      <c r="E48" s="3" t="inlineStr">
        <is>
          <t>중국</t>
        </is>
      </c>
      <c r="F48" s="4" t="inlineStr">
        <is>
          <t>IMB-101</t>
        </is>
      </c>
      <c r="G48" s="4" t="inlineStr">
        <is>
          <t>OX401, TNF-a 반응 동시 억제하는 이중항체</t>
        </is>
      </c>
      <c r="H48" s="5" t="n">
        <v>800</v>
      </c>
      <c r="I48" s="5" t="n">
        <v>110</v>
      </c>
      <c r="J48" s="4" t="inlineStr">
        <is>
          <t>이중항체</t>
        </is>
      </c>
      <c r="K48" s="4" t="inlineStr">
        <is>
          <t>800만 달러 / 약 110억원</t>
        </is>
      </c>
    </row>
    <row r="49">
      <c r="A49" s="3" t="inlineStr">
        <is>
          <t>2024</t>
        </is>
      </c>
      <c r="B49" s="3" t="inlineStr">
        <is>
          <t>09월 10일</t>
        </is>
      </c>
      <c r="C49" s="4" t="inlineStr">
        <is>
          <t>지씨셀</t>
        </is>
      </c>
      <c r="D49" s="4" t="inlineStr">
        <is>
          <t>비파마</t>
        </is>
      </c>
      <c r="E49" s="3" t="inlineStr">
        <is>
          <t>인도네시아</t>
        </is>
      </c>
      <c r="F49" s="4" t="inlineStr">
        <is>
          <t>이뮨셀엘씨주</t>
        </is>
      </c>
      <c r="G49" s="4" t="inlineStr">
        <is>
          <t>간세포암 치료제</t>
        </is>
      </c>
      <c r="H49" s="5" t="n">
        <v>1100</v>
      </c>
      <c r="I49" s="5" t="n">
        <v>160</v>
      </c>
      <c r="J49" s="4" t="inlineStr">
        <is>
          <t>세포유전자</t>
        </is>
      </c>
      <c r="K49" s="4" t="inlineStr">
        <is>
          <t>1,100만 달러 / 약 160억원</t>
        </is>
      </c>
    </row>
    <row r="50">
      <c r="A50" s="3" t="inlineStr">
        <is>
          <t>2024</t>
        </is>
      </c>
      <c r="B50" s="3" t="inlineStr">
        <is>
          <t>10월 10일</t>
        </is>
      </c>
      <c r="C50" s="4" t="inlineStr">
        <is>
          <t>리가켐바이오</t>
        </is>
      </c>
      <c r="D50" s="4" t="inlineStr">
        <is>
          <t>오노약품공업</t>
        </is>
      </c>
      <c r="E50" s="3" t="inlineStr">
        <is>
          <t>일본</t>
        </is>
      </c>
      <c r="F50" s="4" t="inlineStr">
        <is>
          <t>ADC LCB97</t>
        </is>
      </c>
      <c r="G50" s="4" t="inlineStr">
        <is>
          <t>L1CAM(L1 cell adhesion molecule) ADC</t>
        </is>
      </c>
      <c r="H50" s="5" t="n">
        <v>70000</v>
      </c>
      <c r="I50" s="5" t="n">
        <v>9435</v>
      </c>
      <c r="J50" s="4" t="inlineStr">
        <is>
          <t>ADC</t>
        </is>
      </c>
      <c r="K50" s="4" t="inlineStr">
        <is>
          <t>7억 달러 / 약 9,435억원</t>
        </is>
      </c>
    </row>
    <row r="51">
      <c r="A51" s="3" t="inlineStr">
        <is>
          <t>2024</t>
        </is>
      </c>
      <c r="B51" s="3" t="inlineStr">
        <is>
          <t>10월 21일</t>
        </is>
      </c>
      <c r="C51" s="4" t="inlineStr">
        <is>
          <t>큐어버스</t>
        </is>
      </c>
      <c r="D51" s="4" t="inlineStr">
        <is>
          <t>안젤리니파마</t>
        </is>
      </c>
      <c r="E51" s="3" t="inlineStr">
        <is>
          <t>이탈리아</t>
        </is>
      </c>
      <c r="F51" s="4" t="inlineStr">
        <is>
          <t>CV-01</t>
        </is>
      </c>
      <c r="G51" s="4" t="inlineStr">
        <is>
          <t>Nrf2 억제제</t>
        </is>
      </c>
      <c r="H51" s="5" t="n">
        <v>37000</v>
      </c>
      <c r="I51" s="5" t="n">
        <v>5037</v>
      </c>
      <c r="J51" s="4" t="inlineStr">
        <is>
          <t>저분자화합물</t>
        </is>
      </c>
      <c r="K51" s="4" t="inlineStr">
        <is>
          <t>3억 7,000만 달러 / 약 5,037억원</t>
        </is>
      </c>
    </row>
    <row r="52">
      <c r="A52" s="3" t="inlineStr">
        <is>
          <t>2024</t>
        </is>
      </c>
      <c r="B52" s="3" t="inlineStr">
        <is>
          <t>11월 08일</t>
        </is>
      </c>
      <c r="C52" s="4" t="inlineStr">
        <is>
          <t>알테오젠</t>
        </is>
      </c>
      <c r="D52" s="4" t="inlineStr">
        <is>
          <t>다이이찌산쿄</t>
        </is>
      </c>
      <c r="E52" s="3" t="inlineStr">
        <is>
          <t>일본</t>
        </is>
      </c>
      <c r="F52" s="4" t="inlineStr">
        <is>
          <t>ALT-B4</t>
        </is>
      </c>
      <c r="G52" s="4" t="inlineStr">
        <is>
          <t>항체약물접합체(ADC) 엔허투SC 제형 치료제 개발</t>
        </is>
      </c>
      <c r="H52" s="5" t="n">
        <v>30000</v>
      </c>
      <c r="I52" s="5" t="n">
        <v>4400</v>
      </c>
      <c r="J52" s="4" t="inlineStr">
        <is>
          <t>플랫폼</t>
        </is>
      </c>
      <c r="K52" s="4" t="inlineStr">
        <is>
          <t>3억 달러 / 약 4,400억원</t>
        </is>
      </c>
    </row>
    <row r="53">
      <c r="A53" s="3" t="inlineStr">
        <is>
          <t>2025</t>
        </is>
      </c>
      <c r="B53" s="3" t="inlineStr">
        <is>
          <t>02월 07일</t>
        </is>
      </c>
      <c r="C53" s="4" t="inlineStr">
        <is>
          <t>올릭스</t>
        </is>
      </c>
      <c r="D53" s="4" t="inlineStr">
        <is>
          <t>일라이 릴리</t>
        </is>
      </c>
      <c r="E53" s="3" t="inlineStr">
        <is>
          <t>미국</t>
        </is>
      </c>
      <c r="F53" s="4" t="inlineStr">
        <is>
          <t>OLX702A(물질명 OLX75016)</t>
        </is>
      </c>
      <c r="G53" s="4" t="inlineStr">
        <is>
          <t>대사이상지방간염(MASH) 및 심혈관·대사질환 치료 신약</t>
        </is>
      </c>
      <c r="H53" s="5" t="n">
        <v>63000</v>
      </c>
      <c r="I53" s="5" t="n">
        <v>9117</v>
      </c>
      <c r="J53" s="4" t="inlineStr">
        <is>
          <t>RNA</t>
        </is>
      </c>
      <c r="K53" s="4" t="inlineStr">
        <is>
          <t>6억 3,000만 달러 / 약 9,117억원</t>
        </is>
      </c>
    </row>
    <row r="54">
      <c r="A54" s="3" t="inlineStr">
        <is>
          <t>2025</t>
        </is>
      </c>
      <c r="B54" s="3" t="inlineStr">
        <is>
          <t>02월 12일</t>
        </is>
      </c>
      <c r="C54" s="4" t="inlineStr">
        <is>
          <t>지놈앤컴퍼니</t>
        </is>
      </c>
      <c r="D54" s="4" t="inlineStr">
        <is>
          <t>엘립시스 파마 리미티드</t>
        </is>
      </c>
      <c r="E54" s="3" t="inlineStr">
        <is>
          <t>영국</t>
        </is>
      </c>
      <c r="F54" s="4" t="inlineStr">
        <is>
          <t>GENA-104</t>
        </is>
      </c>
      <c r="G54" s="4" t="inlineStr">
        <is>
          <t>CNTN4를 표적하는 면역항암제 후보물질</t>
        </is>
      </c>
      <c r="H54" s="5" t="n"/>
      <c r="I54" s="5" t="n"/>
      <c r="J54" s="4" t="inlineStr">
        <is>
          <t>항체</t>
        </is>
      </c>
      <c r="K54" s="4" t="inlineStr">
        <is>
          <t>미정</t>
        </is>
      </c>
    </row>
    <row r="55">
      <c r="A55" s="3" t="inlineStr">
        <is>
          <t>2025</t>
        </is>
      </c>
      <c r="B55" s="3" t="inlineStr">
        <is>
          <t>02월 28일</t>
        </is>
      </c>
      <c r="C55" s="4" t="inlineStr">
        <is>
          <t>앱클론</t>
        </is>
      </c>
      <c r="D55" s="4" t="inlineStr">
        <is>
          <t>TCT헬스테크놀로지</t>
        </is>
      </c>
      <c r="E55" s="3" t="inlineStr">
        <is>
          <t>튀르키예</t>
        </is>
      </c>
      <c r="F55" s="4" t="inlineStr">
        <is>
          <t>AT101</t>
        </is>
      </c>
      <c r="G55" s="4" t="inlineStr">
        <is>
          <t>미상(CAR-T) 세포치료제 후보물질</t>
        </is>
      </c>
      <c r="H55" s="5" t="n"/>
      <c r="I55" s="5" t="n"/>
      <c r="J55" s="4" t="inlineStr">
        <is>
          <t>CAR-T</t>
        </is>
      </c>
      <c r="K55" s="4" t="inlineStr">
        <is>
          <t>비공개</t>
        </is>
      </c>
    </row>
    <row r="56">
      <c r="A56" s="3" t="inlineStr">
        <is>
          <t>2025</t>
        </is>
      </c>
      <c r="B56" s="3" t="inlineStr">
        <is>
          <t>03월 17일</t>
        </is>
      </c>
      <c r="C56" s="4" t="inlineStr">
        <is>
          <t>알테오젠</t>
        </is>
      </c>
      <c r="D56" s="4" t="inlineStr">
        <is>
          <t>아스트라제네카 자회사 메드이뮨</t>
        </is>
      </c>
      <c r="E56" s="3" t="inlineStr">
        <is>
          <t>미국, 영국</t>
        </is>
      </c>
      <c r="F56" s="4" t="inlineStr">
        <is>
          <t>ALT-B4</t>
        </is>
      </c>
      <c r="G56" s="4" t="inlineStr">
        <is>
          <t>피하나 근육주사 침투력 증가</t>
        </is>
      </c>
      <c r="H56" s="5" t="n">
        <v>135000</v>
      </c>
      <c r="I56" s="5" t="n">
        <v>19553</v>
      </c>
      <c r="J56" s="4" t="inlineStr">
        <is>
          <t>플랫폼</t>
        </is>
      </c>
      <c r="K56" s="4" t="inlineStr">
        <is>
          <t>13억 5,000만 달러 / 약 1조 9,553억원</t>
        </is>
      </c>
    </row>
    <row r="57">
      <c r="A57" s="3" t="inlineStr">
        <is>
          <t>2025</t>
        </is>
      </c>
      <c r="B57" s="3" t="inlineStr">
        <is>
          <t>04월 07일</t>
        </is>
      </c>
      <c r="C57" s="4" t="inlineStr">
        <is>
          <t>에이비엘바이오</t>
        </is>
      </c>
      <c r="D57" s="4" t="inlineStr">
        <is>
          <t>GSK</t>
        </is>
      </c>
      <c r="E57" s="3" t="inlineStr">
        <is>
          <t>영국</t>
        </is>
      </c>
      <c r="F57" s="4" t="inlineStr">
        <is>
          <t>Grabody-B</t>
        </is>
      </c>
      <c r="G57" s="4" t="inlineStr">
        <is>
          <t>siRNA, ASO 등 다양한 모달리티를 활용해 복수의 새로운 표적 기반 치료제 개발</t>
        </is>
      </c>
      <c r="H57" s="5" t="n">
        <v>302000</v>
      </c>
      <c r="I57" s="5" t="n">
        <v>41000</v>
      </c>
      <c r="J57" s="4" t="inlineStr">
        <is>
          <t>이중항체</t>
        </is>
      </c>
      <c r="K57" s="4" t="inlineStr">
        <is>
          <t>30억 2,000만 달러 / 약 4조 1,000억원</t>
        </is>
      </c>
    </row>
    <row r="58">
      <c r="A58" s="3" t="inlineStr">
        <is>
          <t>2025</t>
        </is>
      </c>
      <c r="B58" s="3" t="inlineStr">
        <is>
          <t>05월 28일</t>
        </is>
      </c>
      <c r="C58" s="4" t="inlineStr">
        <is>
          <t>나이벡</t>
        </is>
      </c>
      <c r="D58" s="4" t="inlineStr">
        <is>
          <t>비공개</t>
        </is>
      </c>
      <c r="E58" s="3" t="inlineStr">
        <is>
          <t>미국</t>
        </is>
      </c>
      <c r="F58" s="4" t="inlineStr">
        <is>
          <t>NP-201</t>
        </is>
      </c>
      <c r="G58" s="4" t="inlineStr">
        <is>
          <t>펩타이드 기반 섬유증 치료제 후보물질</t>
        </is>
      </c>
      <c r="H58" s="5" t="n">
        <v>43500</v>
      </c>
      <c r="I58" s="5" t="n">
        <v>5953</v>
      </c>
      <c r="J58" s="4" t="inlineStr">
        <is>
          <t>펩타이드</t>
        </is>
      </c>
      <c r="K58" s="4" t="inlineStr">
        <is>
          <t>4억 3,500만 달러 / 약 5,953억원</t>
        </is>
      </c>
    </row>
    <row r="59">
      <c r="A59" s="3" t="inlineStr">
        <is>
          <t>2025</t>
        </is>
      </c>
      <c r="B59" s="3" t="inlineStr">
        <is>
          <t>05월 14일</t>
        </is>
      </c>
      <c r="C59" s="4" t="inlineStr">
        <is>
          <t>알지노믹스</t>
        </is>
      </c>
      <c r="D59" s="4" t="inlineStr">
        <is>
          <t>일라이 릴리</t>
        </is>
      </c>
      <c r="E59" s="3" t="inlineStr">
        <is>
          <t>미국</t>
        </is>
      </c>
      <c r="F59" s="4" t="inlineStr">
        <is>
          <t>리보핵산(RNA) 치료제 개발 기술</t>
        </is>
      </c>
      <c r="G59" s="4" t="inlineStr">
        <is>
          <t>유전성 난청질환 치료를 위한 RNA 치료제</t>
        </is>
      </c>
      <c r="H59" s="5" t="n">
        <v>140000</v>
      </c>
      <c r="I59" s="5" t="n">
        <v>19000</v>
      </c>
      <c r="J59" s="4" t="inlineStr">
        <is>
          <t>RNA</t>
        </is>
      </c>
      <c r="K59" s="4" t="inlineStr">
        <is>
          <t>14억 달러 / 1조 9,000억원</t>
        </is>
      </c>
    </row>
    <row r="60">
      <c r="A60" s="3" t="inlineStr">
        <is>
          <t>2025</t>
        </is>
      </c>
      <c r="B60" s="3" t="inlineStr">
        <is>
          <t>06월 03일</t>
        </is>
      </c>
      <c r="C60" s="4" t="inlineStr">
        <is>
          <t>아리바이오</t>
        </is>
      </c>
      <c r="D60" s="4" t="inlineStr">
        <is>
          <t>아르세라</t>
        </is>
      </c>
      <c r="E60" s="3" t="inlineStr">
        <is>
          <t>UAE</t>
        </is>
      </c>
      <c r="F60" s="4" t="inlineStr">
        <is>
          <t>AR1001</t>
        </is>
      </c>
      <c r="G60" s="4" t="inlineStr">
        <is>
          <t>알츠하이머병 치료제</t>
        </is>
      </c>
      <c r="H60" s="5" t="n">
        <v>60000</v>
      </c>
      <c r="I60" s="5" t="n">
        <v>8100</v>
      </c>
      <c r="J60" s="4" t="inlineStr">
        <is>
          <t>저분자화합물</t>
        </is>
      </c>
      <c r="K60" s="4" t="inlineStr">
        <is>
          <t>6억 달러 / 8,100억원</t>
        </is>
      </c>
    </row>
    <row r="61">
      <c r="A61" s="3" t="inlineStr">
        <is>
          <t>2025</t>
        </is>
      </c>
      <c r="B61" s="3" t="inlineStr">
        <is>
          <t>06월 24일</t>
        </is>
      </c>
      <c r="C61" s="4" t="inlineStr">
        <is>
          <t>에이비온</t>
        </is>
      </c>
      <c r="D61" s="4" t="inlineStr">
        <is>
          <t>비공개</t>
        </is>
      </c>
      <c r="E61" s="3" t="inlineStr">
        <is>
          <t>비공개</t>
        </is>
      </c>
      <c r="F61" s="4" t="inlineStr">
        <is>
          <t>CLDN3 외 4개 단백질</t>
        </is>
      </c>
      <c r="G61" s="4" t="inlineStr">
        <is>
          <t>항암제 신약 후보제</t>
        </is>
      </c>
      <c r="H61" s="5" t="n">
        <v>132500</v>
      </c>
      <c r="I61" s="5" t="n">
        <v>18000</v>
      </c>
      <c r="J61" s="4" t="inlineStr">
        <is>
          <t>항체</t>
        </is>
      </c>
      <c r="K61" s="4" t="inlineStr">
        <is>
          <t>13억 2,500만 달러 / 1조 8,000억원</t>
        </is>
      </c>
    </row>
    <row r="62">
      <c r="A62" s="6" t="inlineStr">
        <is>
          <t>합계</t>
        </is>
      </c>
      <c r="B62" s="7" t="n"/>
      <c r="C62" s="7" t="n"/>
      <c r="D62" s="7" t="n"/>
      <c r="E62" s="7" t="n"/>
      <c r="F62" s="7" t="n"/>
      <c r="G62" s="7" t="n"/>
      <c r="H62" s="8">
        <f>SUM(H3:H61)</f>
        <v/>
      </c>
      <c r="I62" s="8">
        <f>SUM(I3:I61)</f>
        <v/>
      </c>
      <c r="J62" s="7" t="n"/>
      <c r="K62" s="7" t="n"/>
    </row>
    <row r="64">
      <c r="A64" s="9" t="inlineStr">
        <is>
          <t>※ 계약규모는 원문 표기를 단위 통일해 숫자만 입력(만 달러 / 억 원 기준). 비공개·미정 건은 빈칸이므로 합계에서 제외됨. 원문 표기는 우측 '원문(계약규모)' 열 참조.</t>
        </is>
      </c>
    </row>
    <row r="65">
      <c r="A65" s="9" t="inlineStr">
        <is>
          <t>※ 자료: THE BIO 보도 표. 환율·집계 시점 차이로 만달러 금액과 억원 금액이 정확히 비례하지 않는 건이 있음(원문 그대로 기재).</t>
        </is>
      </c>
    </row>
  </sheetData>
  <autoFilter ref="A2:K61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24" customWidth="1" min="4" max="4"/>
    <col width="18" customWidth="1" min="5" max="5"/>
    <col width="30" customWidth="1" min="6" max="6"/>
    <col width="44" customWidth="1" min="7" max="7"/>
    <col width="16" customWidth="1" min="8" max="8"/>
    <col width="16" customWidth="1" min="9" max="9"/>
    <col width="52" customWidth="1" min="10" max="10"/>
  </cols>
  <sheetData>
    <row r="1" ht="22" customHeight="1">
      <c r="A1" s="1" t="inlineStr">
        <is>
          <t>2025년 국내 제약바이오 글로벌 기술이전 성과</t>
        </is>
      </c>
    </row>
    <row r="2" ht="30" customHeight="1">
      <c r="A2" s="2" t="inlineStr">
        <is>
          <t>연도</t>
        </is>
      </c>
      <c r="B2" s="2" t="inlineStr">
        <is>
          <t>일자</t>
        </is>
      </c>
      <c r="C2" s="2" t="inlineStr">
        <is>
          <t>개발사</t>
        </is>
      </c>
      <c r="D2" s="2" t="inlineStr">
        <is>
          <t>계약상대</t>
        </is>
      </c>
      <c r="E2" s="2" t="inlineStr">
        <is>
          <t>국가</t>
        </is>
      </c>
      <c r="F2" s="2" t="inlineStr">
        <is>
          <t>제품명(코드명)</t>
        </is>
      </c>
      <c r="G2" s="2" t="inlineStr">
        <is>
          <t>적응증</t>
        </is>
      </c>
      <c r="H2" s="2" t="inlineStr">
        <is>
          <t>계약규모(만달러)</t>
        </is>
      </c>
      <c r="I2" s="2" t="inlineStr">
        <is>
          <t>계약규모(억원)</t>
        </is>
      </c>
      <c r="J2" s="2" t="inlineStr">
        <is>
          <t>원문(계약규모)</t>
        </is>
      </c>
    </row>
    <row r="3">
      <c r="A3" s="3" t="inlineStr">
        <is>
          <t>2025</t>
        </is>
      </c>
      <c r="B3" s="3" t="inlineStr">
        <is>
          <t>01월 14일</t>
        </is>
      </c>
      <c r="C3" s="4" t="inlineStr">
        <is>
          <t>에임드바이오</t>
        </is>
      </c>
      <c r="D3" s="4" t="inlineStr">
        <is>
          <t>바이오헤븐</t>
        </is>
      </c>
      <c r="E3" s="3" t="inlineStr">
        <is>
          <t>미국</t>
        </is>
      </c>
      <c r="F3" s="4" t="inlineStr">
        <is>
          <t>AMB302</t>
        </is>
      </c>
      <c r="G3" s="4" t="inlineStr">
        <is>
          <t>ADC 후보물질</t>
        </is>
      </c>
      <c r="H3" s="5" t="n"/>
      <c r="I3" s="5" t="n"/>
      <c r="J3" s="4" t="inlineStr">
        <is>
          <t>비공개</t>
        </is>
      </c>
    </row>
    <row r="4">
      <c r="A4" s="3" t="inlineStr">
        <is>
          <t>2025</t>
        </is>
      </c>
      <c r="B4" s="3" t="inlineStr">
        <is>
          <t>02월 07일</t>
        </is>
      </c>
      <c r="C4" s="4" t="inlineStr">
        <is>
          <t>올릭스</t>
        </is>
      </c>
      <c r="D4" s="4" t="inlineStr">
        <is>
          <t>일라이 릴리</t>
        </is>
      </c>
      <c r="E4" s="3" t="inlineStr">
        <is>
          <t>미국</t>
        </is>
      </c>
      <c r="F4" s="4" t="inlineStr">
        <is>
          <t>OLX702A</t>
        </is>
      </c>
      <c r="G4" s="4" t="inlineStr">
        <is>
          <t>MASH 및 심혈관·대사질환 치료 신약</t>
        </is>
      </c>
      <c r="H4" s="5" t="n">
        <v>63000</v>
      </c>
      <c r="I4" s="5" t="n">
        <v>9117</v>
      </c>
      <c r="J4" s="4" t="inlineStr">
        <is>
          <t>6억 3,000만 달러 / 약 9,117억원</t>
        </is>
      </c>
    </row>
    <row r="5">
      <c r="A5" s="3" t="inlineStr">
        <is>
          <t>2025</t>
        </is>
      </c>
      <c r="B5" s="3" t="inlineStr">
        <is>
          <t>02월 12일</t>
        </is>
      </c>
      <c r="C5" s="4" t="inlineStr">
        <is>
          <t>지놈앤컴퍼니</t>
        </is>
      </c>
      <c r="D5" s="4" t="inlineStr">
        <is>
          <t>엘립시스 파마 리미티드</t>
        </is>
      </c>
      <c r="E5" s="3" t="inlineStr">
        <is>
          <t>영국</t>
        </is>
      </c>
      <c r="F5" s="4" t="inlineStr">
        <is>
          <t>GENA-104</t>
        </is>
      </c>
      <c r="G5" s="4" t="inlineStr">
        <is>
          <t>CNTN4를 표적하는 면역항암제 후보물질</t>
        </is>
      </c>
      <c r="H5" s="5" t="n"/>
      <c r="I5" s="5" t="n"/>
      <c r="J5" s="4" t="inlineStr">
        <is>
          <t>미정(계약금을 받지 않는 대신 임상 개발을 파트너사에 맡기고 재기술수출을 통한 수익 배분)</t>
        </is>
      </c>
    </row>
    <row r="6">
      <c r="A6" s="3" t="inlineStr">
        <is>
          <t>2025</t>
        </is>
      </c>
      <c r="B6" s="3" t="inlineStr">
        <is>
          <t>02월 28일</t>
        </is>
      </c>
      <c r="C6" s="4" t="inlineStr">
        <is>
          <t>앱클론</t>
        </is>
      </c>
      <c r="D6" s="4" t="inlineStr">
        <is>
          <t>헬스테크놀로지</t>
        </is>
      </c>
      <c r="E6" s="3" t="inlineStr">
        <is>
          <t>튀르키예</t>
        </is>
      </c>
      <c r="F6" s="4" t="inlineStr">
        <is>
          <t>AT101</t>
        </is>
      </c>
      <c r="G6" s="4" t="inlineStr">
        <is>
          <t>CAR-T 세포치료제 후보물질</t>
        </is>
      </c>
      <c r="H6" s="5" t="n"/>
      <c r="I6" s="5" t="n"/>
      <c r="J6" s="4" t="inlineStr">
        <is>
          <t>비공개</t>
        </is>
      </c>
    </row>
    <row r="7">
      <c r="A7" s="3" t="inlineStr">
        <is>
          <t>2025</t>
        </is>
      </c>
      <c r="B7" s="3" t="inlineStr">
        <is>
          <t>03월 17일</t>
        </is>
      </c>
      <c r="C7" s="4" t="inlineStr">
        <is>
          <t>알테오젠</t>
        </is>
      </c>
      <c r="D7" s="4" t="inlineStr">
        <is>
          <t>메드이뮨(아스트라제네카 자회사)</t>
        </is>
      </c>
      <c r="E7" s="3" t="inlineStr">
        <is>
          <t>미국, 영국</t>
        </is>
      </c>
      <c r="F7" s="4" t="inlineStr">
        <is>
          <t>인간 히알루로니다제 원천기술 'ALT-B4'</t>
        </is>
      </c>
      <c r="G7" s="4" t="inlineStr">
        <is>
          <t>피하나 근육주사, 국소마취제 및 피하주입 시 침투력을 증가</t>
        </is>
      </c>
      <c r="H7" s="5" t="n">
        <v>135000</v>
      </c>
      <c r="I7" s="5" t="n">
        <v>19553</v>
      </c>
      <c r="J7" s="4" t="inlineStr">
        <is>
          <t>13억 5,000만 달러 / 약 1조 9,553억원</t>
        </is>
      </c>
    </row>
    <row r="8">
      <c r="A8" s="3" t="inlineStr">
        <is>
          <t>2025</t>
        </is>
      </c>
      <c r="B8" s="3" t="inlineStr">
        <is>
          <t>04월 07일</t>
        </is>
      </c>
      <c r="C8" s="4" t="inlineStr">
        <is>
          <t>에이비엘바이오</t>
        </is>
      </c>
      <c r="D8" s="4" t="inlineStr">
        <is>
          <t>글락소스미스클라인(GSK)</t>
        </is>
      </c>
      <c r="E8" s="3" t="inlineStr">
        <is>
          <t>영국</t>
        </is>
      </c>
      <c r="F8" s="4" t="inlineStr">
        <is>
          <t>Grabody-B</t>
        </is>
      </c>
      <c r="G8" s="4" t="inlineStr">
        <is>
          <t>BBB 셔틀 플랫폼</t>
        </is>
      </c>
      <c r="H8" s="5" t="n">
        <v>302000</v>
      </c>
      <c r="I8" s="5" t="n">
        <v>41000</v>
      </c>
      <c r="J8" s="4" t="inlineStr">
        <is>
          <t>30억 2,000만 달러 / 약 4조 1,000억원</t>
        </is>
      </c>
    </row>
    <row r="9">
      <c r="A9" s="3" t="inlineStr">
        <is>
          <t>2025</t>
        </is>
      </c>
      <c r="B9" s="3" t="inlineStr">
        <is>
          <t>05월 28일</t>
        </is>
      </c>
      <c r="C9" s="4" t="inlineStr">
        <is>
          <t>나이벡</t>
        </is>
      </c>
      <c r="D9" s="4" t="inlineStr">
        <is>
          <t>비공개</t>
        </is>
      </c>
      <c r="E9" s="3" t="inlineStr">
        <is>
          <t>미국</t>
        </is>
      </c>
      <c r="F9" s="4" t="inlineStr">
        <is>
          <t>NP-201</t>
        </is>
      </c>
      <c r="G9" s="4" t="inlineStr">
        <is>
          <t>펩타이드 기반 섬유증 치료제 후보물질</t>
        </is>
      </c>
      <c r="H9" s="5" t="n">
        <v>43500</v>
      </c>
      <c r="I9" s="5" t="n">
        <v>5953</v>
      </c>
      <c r="J9" s="4" t="inlineStr">
        <is>
          <t>4억 3,500만 달러 / 약 5,953억원</t>
        </is>
      </c>
    </row>
    <row r="10">
      <c r="A10" s="3" t="inlineStr">
        <is>
          <t>2025</t>
        </is>
      </c>
      <c r="B10" s="3" t="inlineStr">
        <is>
          <t>05월 14일</t>
        </is>
      </c>
      <c r="C10" s="4" t="inlineStr">
        <is>
          <t>알지노믹스</t>
        </is>
      </c>
      <c r="D10" s="4" t="inlineStr">
        <is>
          <t>일라이 릴리</t>
        </is>
      </c>
      <c r="E10" s="3" t="inlineStr">
        <is>
          <t>미국</t>
        </is>
      </c>
      <c r="F10" s="4" t="inlineStr">
        <is>
          <t>리보핵산(RNA) 치료제 개발 기술</t>
        </is>
      </c>
      <c r="G10" s="4" t="inlineStr">
        <is>
          <t>유전성 난청질환 치료를 위한 RNA 치료제</t>
        </is>
      </c>
      <c r="H10" s="5" t="n">
        <v>140000</v>
      </c>
      <c r="I10" s="5" t="n">
        <v>19000</v>
      </c>
      <c r="J10" s="4" t="inlineStr">
        <is>
          <t>14억 달러 / 1조 9,000억원</t>
        </is>
      </c>
    </row>
    <row r="11">
      <c r="A11" s="3" t="inlineStr">
        <is>
          <t>2025</t>
        </is>
      </c>
      <c r="B11" s="3" t="inlineStr">
        <is>
          <t>06월 03일</t>
        </is>
      </c>
      <c r="C11" s="4" t="inlineStr">
        <is>
          <t>아리바이오</t>
        </is>
      </c>
      <c r="D11" s="4" t="inlineStr">
        <is>
          <t>아르세라</t>
        </is>
      </c>
      <c r="E11" s="3" t="inlineStr">
        <is>
          <t>UAE</t>
        </is>
      </c>
      <c r="F11" s="4" t="inlineStr">
        <is>
          <t>AR1001</t>
        </is>
      </c>
      <c r="G11" s="4" t="inlineStr">
        <is>
          <t>알츠하이머병 치료제</t>
        </is>
      </c>
      <c r="H11" s="5" t="n">
        <v>60000</v>
      </c>
      <c r="I11" s="5" t="n">
        <v>8100</v>
      </c>
      <c r="J11" s="4" t="inlineStr">
        <is>
          <t>6억 달러 / 8,100억원</t>
        </is>
      </c>
    </row>
    <row r="12">
      <c r="A12" s="3" t="inlineStr">
        <is>
          <t>2025</t>
        </is>
      </c>
      <c r="B12" s="3" t="inlineStr">
        <is>
          <t>06월 24일</t>
        </is>
      </c>
      <c r="C12" s="4" t="inlineStr">
        <is>
          <t>에이비온</t>
        </is>
      </c>
      <c r="D12" s="4" t="inlineStr">
        <is>
          <t>비공개</t>
        </is>
      </c>
      <c r="E12" s="3" t="inlineStr">
        <is>
          <t>비공개</t>
        </is>
      </c>
      <c r="F12" s="4" t="inlineStr">
        <is>
          <t>ABN501</t>
        </is>
      </c>
      <c r="G12" s="4" t="inlineStr">
        <is>
          <t>항암제 신약 후보제</t>
        </is>
      </c>
      <c r="H12" s="5" t="n">
        <v>132500</v>
      </c>
      <c r="I12" s="5" t="n">
        <v>18000</v>
      </c>
      <c r="J12" s="4" t="inlineStr">
        <is>
          <t>13억 2,500만 달러 / 1조 8,000억원</t>
        </is>
      </c>
    </row>
    <row r="13">
      <c r="A13" s="3" t="inlineStr">
        <is>
          <t>2025</t>
        </is>
      </c>
      <c r="B13" s="3" t="inlineStr">
        <is>
          <t>07월 30일</t>
        </is>
      </c>
      <c r="C13" s="4" t="inlineStr">
        <is>
          <t>DXVX</t>
        </is>
      </c>
      <c r="D13" s="4" t="inlineStr">
        <is>
          <t>비공개</t>
        </is>
      </c>
      <c r="E13" s="3" t="inlineStr">
        <is>
          <t>미국</t>
        </is>
      </c>
      <c r="F13" s="4" t="inlineStr">
        <is>
          <t>mRNA 항암백신</t>
        </is>
      </c>
      <c r="G13" s="4" t="inlineStr">
        <is>
          <t>mRNA 항암백신(플랫폼 기술이전)</t>
        </is>
      </c>
      <c r="H13" s="5" t="n">
        <v>21229</v>
      </c>
      <c r="I13" s="5" t="n">
        <v>3000</v>
      </c>
      <c r="J13" s="4" t="inlineStr">
        <is>
          <t>2억 1,229만 달러 / 3,000억원</t>
        </is>
      </c>
    </row>
    <row r="14">
      <c r="A14" s="3" t="inlineStr">
        <is>
          <t>2025</t>
        </is>
      </c>
      <c r="B14" s="3" t="inlineStr">
        <is>
          <t>08월 18일</t>
        </is>
      </c>
      <c r="C14" s="4" t="inlineStr">
        <is>
          <t>에빅스젠</t>
        </is>
      </c>
      <c r="D14" s="4" t="inlineStr">
        <is>
          <t>비공개</t>
        </is>
      </c>
      <c r="E14" s="3" t="inlineStr">
        <is>
          <t>미국</t>
        </is>
      </c>
      <c r="F14" s="4" t="inlineStr">
        <is>
          <t>차세대 약물 전달 플랫폼(ACP) 기술</t>
        </is>
      </c>
      <c r="G14" s="4" t="inlineStr">
        <is>
          <t>펩타이드 기반 약물 전달 기술</t>
        </is>
      </c>
      <c r="H14" s="5" t="n">
        <v>35383</v>
      </c>
      <c r="I14" s="5" t="n">
        <v>5000</v>
      </c>
      <c r="J14" s="4" t="inlineStr">
        <is>
          <t>3억 5,383만 달러 / 5,000억원</t>
        </is>
      </c>
    </row>
    <row r="15">
      <c r="A15" s="3" t="inlineStr">
        <is>
          <t>2025</t>
        </is>
      </c>
      <c r="B15" s="3" t="inlineStr">
        <is>
          <t>09월 08일</t>
        </is>
      </c>
      <c r="C15" s="4" t="inlineStr">
        <is>
          <t>아이디언스</t>
        </is>
      </c>
      <c r="D15" s="4" t="inlineStr">
        <is>
          <t>비공개</t>
        </is>
      </c>
      <c r="E15" s="3" t="inlineStr">
        <is>
          <t>유라시아 경제연합(EAEU) 및 걸프협력이사회(GCC)</t>
        </is>
      </c>
      <c r="F15" s="4" t="inlineStr">
        <is>
          <t>베나다파립</t>
        </is>
      </c>
      <c r="G15" s="4" t="inlineStr">
        <is>
          <t>PARP(Poly ADP-ribose polymerase) 저해제 계열의 경구용 표적 치료 항암제</t>
        </is>
      </c>
      <c r="H15" s="5" t="n">
        <v>5000</v>
      </c>
      <c r="I15" s="5" t="n">
        <v>700</v>
      </c>
      <c r="J15" s="4" t="inlineStr">
        <is>
          <t>5,000만 달러 / 약 700억원</t>
        </is>
      </c>
    </row>
    <row r="16">
      <c r="A16" s="3" t="inlineStr">
        <is>
          <t>2025</t>
        </is>
      </c>
      <c r="B16" s="3" t="inlineStr">
        <is>
          <t>09월 18일</t>
        </is>
      </c>
      <c r="C16" s="4" t="inlineStr">
        <is>
          <t>보로노이</t>
        </is>
      </c>
      <c r="D16" s="4" t="inlineStr">
        <is>
          <t>안비아 테라퓨틱스</t>
        </is>
      </c>
      <c r="E16" s="3" t="inlineStr">
        <is>
          <t>미국</t>
        </is>
      </c>
      <c r="F16" s="4" t="inlineStr">
        <is>
          <t>VRN04</t>
        </is>
      </c>
      <c r="G16" s="4" t="inlineStr">
        <is>
          <t>경구용 염증 치료제</t>
        </is>
      </c>
      <c r="H16" s="5" t="n">
        <v>1450</v>
      </c>
      <c r="I16" s="5" t="n">
        <v>200</v>
      </c>
      <c r="J16" s="4" t="inlineStr">
        <is>
          <t>1,450만 달러 / 약 200억원</t>
        </is>
      </c>
    </row>
    <row r="17">
      <c r="A17" s="3" t="inlineStr">
        <is>
          <t>2025</t>
        </is>
      </c>
      <c r="B17" s="3" t="inlineStr">
        <is>
          <t>09월 23일</t>
        </is>
      </c>
      <c r="C17" s="4" t="inlineStr">
        <is>
          <t>소바젠</t>
        </is>
      </c>
      <c r="D17" s="4" t="inlineStr">
        <is>
          <t>안젤리니파마</t>
        </is>
      </c>
      <c r="E17" s="3" t="inlineStr">
        <is>
          <t>이탈리아</t>
        </is>
      </c>
      <c r="F17" s="4" t="inlineStr">
        <is>
          <t>SVG105</t>
        </is>
      </c>
      <c r="G17" s="4" t="inlineStr">
        <is>
          <t>난치성 뇌전증 신약 후보물질</t>
        </is>
      </c>
      <c r="H17" s="5" t="n">
        <v>55000</v>
      </c>
      <c r="I17" s="5" t="n">
        <v>7500</v>
      </c>
      <c r="J17" s="4" t="inlineStr">
        <is>
          <t>5억 5,000만 달러 / 약 7,500억원</t>
        </is>
      </c>
    </row>
    <row r="18">
      <c r="A18" s="3" t="inlineStr">
        <is>
          <t>2025</t>
        </is>
      </c>
      <c r="B18" s="3" t="inlineStr">
        <is>
          <t>10월 15일</t>
        </is>
      </c>
      <c r="C18" s="4" t="inlineStr">
        <is>
          <t>에임드바이오</t>
        </is>
      </c>
      <c r="D18" s="4" t="inlineStr">
        <is>
          <t>베링거인겔하임</t>
        </is>
      </c>
      <c r="E18" s="3" t="inlineStr">
        <is>
          <t>독일</t>
        </is>
      </c>
      <c r="F18" s="4" t="inlineStr">
        <is>
          <t>차세대 항체약물접합체(ADC)</t>
        </is>
      </c>
      <c r="G18" s="4" t="inlineStr">
        <is>
          <t>ADC 후보물질</t>
        </is>
      </c>
      <c r="H18" s="5" t="n">
        <v>99100</v>
      </c>
      <c r="I18" s="5" t="n">
        <v>14000</v>
      </c>
      <c r="J18" s="4" t="inlineStr">
        <is>
          <t>9억 9,100만 달러 / 약 1조 4,000억원</t>
        </is>
      </c>
    </row>
    <row r="19">
      <c r="A19" s="3" t="inlineStr">
        <is>
          <t>2025</t>
        </is>
      </c>
      <c r="B19" s="3" t="inlineStr">
        <is>
          <t>11월 12일</t>
        </is>
      </c>
      <c r="C19" s="4" t="inlineStr">
        <is>
          <t>에이비엘바이오</t>
        </is>
      </c>
      <c r="D19" s="4" t="inlineStr">
        <is>
          <t>일라이 릴리</t>
        </is>
      </c>
      <c r="E19" s="3" t="inlineStr">
        <is>
          <t>미국</t>
        </is>
      </c>
      <c r="F19" s="4" t="inlineStr">
        <is>
          <t>그랩바디-B 플랫폼</t>
        </is>
      </c>
      <c r="G19" s="4" t="inlineStr">
        <is>
          <t>BBB 셔틀 플랫폼</t>
        </is>
      </c>
      <c r="H19" s="5" t="n">
        <v>256200</v>
      </c>
      <c r="I19" s="5" t="n">
        <v>37487</v>
      </c>
      <c r="J19" s="4" t="inlineStr">
        <is>
          <t>25억 6,200만 달러 / 약 3조 7,487억원</t>
        </is>
      </c>
    </row>
    <row r="20">
      <c r="A20" s="3" t="inlineStr">
        <is>
          <t>2025</t>
        </is>
      </c>
      <c r="B20" s="3" t="inlineStr">
        <is>
          <t>12월 16일</t>
        </is>
      </c>
      <c r="C20" s="4" t="inlineStr">
        <is>
          <t>아델</t>
        </is>
      </c>
      <c r="D20" s="4" t="inlineStr">
        <is>
          <t>사노피</t>
        </is>
      </c>
      <c r="E20" s="3" t="inlineStr">
        <is>
          <t>프랑스</t>
        </is>
      </c>
      <c r="F20" s="4" t="inlineStr">
        <is>
          <t>ADEL-Y01</t>
        </is>
      </c>
      <c r="G20" s="4" t="inlineStr">
        <is>
          <t>알츠하이머병 치료제 후보물질</t>
        </is>
      </c>
      <c r="H20" s="5" t="n">
        <v>104000</v>
      </c>
      <c r="I20" s="5" t="n">
        <v>15288</v>
      </c>
      <c r="J20" s="4" t="inlineStr">
        <is>
          <t>10억 4,000만 달러 / 약 1조 5,288억원</t>
        </is>
      </c>
    </row>
    <row r="21">
      <c r="A21" s="3" t="inlineStr">
        <is>
          <t>2025</t>
        </is>
      </c>
      <c r="B21" s="3" t="inlineStr">
        <is>
          <t>12월 18일</t>
        </is>
      </c>
      <c r="C21" s="4" t="inlineStr">
        <is>
          <t>아이엔테라퓨틱스</t>
        </is>
      </c>
      <c r="D21" s="4" t="inlineStr">
        <is>
          <t>니로다 테라퓨틱스</t>
        </is>
      </c>
      <c r="E21" s="3" t="inlineStr">
        <is>
          <t>미국</t>
        </is>
      </c>
      <c r="F21" s="4" t="inlineStr">
        <is>
          <t>아네라트리진</t>
        </is>
      </c>
      <c r="G21" s="4" t="inlineStr">
        <is>
          <t>차세대 비마약성 통증 치료제 후보물질</t>
        </is>
      </c>
      <c r="H21" s="5" t="n">
        <v>50000</v>
      </c>
      <c r="I21" s="5" t="n">
        <v>7500</v>
      </c>
      <c r="J21" s="4" t="inlineStr">
        <is>
          <t>5억 달러 이상 / 약 7,500억원 이상</t>
        </is>
      </c>
    </row>
    <row r="22">
      <c r="A22" s="6" t="inlineStr">
        <is>
          <t>합계</t>
        </is>
      </c>
      <c r="B22" s="7" t="n"/>
      <c r="C22" s="7" t="n"/>
      <c r="D22" s="7" t="n"/>
      <c r="E22" s="7" t="n"/>
      <c r="F22" s="7" t="n"/>
      <c r="G22" s="7" t="n"/>
      <c r="H22" s="8">
        <f>SUM(H3:H21)</f>
        <v/>
      </c>
      <c r="I22" s="8">
        <f>SUM(I3:I21)</f>
        <v/>
      </c>
      <c r="J22" s="7" t="n"/>
    </row>
    <row r="24">
      <c r="A24" s="9" t="inlineStr">
        <is>
          <t>※ 계약규모는 원문 표기를 단위 통일해 숫자만 입력(만 달러 / 억 원 기준). 비공개·미정 건은 빈칸이므로 합계에서 제외됨. 원문 표기는 우측 '원문(계약규모)' 열 참조.</t>
        </is>
      </c>
    </row>
    <row r="25">
      <c r="A25" s="9" t="inlineStr">
        <is>
          <t>※ 자료: THE BIO 보도 표. 환율·집계 시점 차이로 만달러 금액과 억원 금액이 정확히 비례하지 않는 건이 있음(원문 그대로 기재).</t>
        </is>
      </c>
    </row>
  </sheetData>
  <autoFilter ref="A2:J21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24" customWidth="1" min="4" max="4"/>
    <col width="18" customWidth="1" min="5" max="5"/>
    <col width="30" customWidth="1" min="6" max="6"/>
    <col width="44" customWidth="1" min="7" max="7"/>
    <col width="16" customWidth="1" min="8" max="8"/>
    <col width="16" customWidth="1" min="9" max="9"/>
    <col width="52" customWidth="1" min="10" max="10"/>
  </cols>
  <sheetData>
    <row r="1" ht="22" customHeight="1">
      <c r="A1" s="1" t="inlineStr">
        <is>
          <t>국내 제약바이오 2026년 1~6월 기술수출 실적</t>
        </is>
      </c>
    </row>
    <row r="2" ht="30" customHeight="1">
      <c r="A2" s="2" t="inlineStr">
        <is>
          <t>연도</t>
        </is>
      </c>
      <c r="B2" s="2" t="inlineStr">
        <is>
          <t>일자</t>
        </is>
      </c>
      <c r="C2" s="2" t="inlineStr">
        <is>
          <t>개발사</t>
        </is>
      </c>
      <c r="D2" s="2" t="inlineStr">
        <is>
          <t>계약상대</t>
        </is>
      </c>
      <c r="E2" s="2" t="inlineStr">
        <is>
          <t>국가</t>
        </is>
      </c>
      <c r="F2" s="2" t="inlineStr">
        <is>
          <t>제품명(코드명)</t>
        </is>
      </c>
      <c r="G2" s="2" t="inlineStr">
        <is>
          <t>적응증</t>
        </is>
      </c>
      <c r="H2" s="2" t="inlineStr">
        <is>
          <t>계약규모(만달러)</t>
        </is>
      </c>
      <c r="I2" s="2" t="inlineStr">
        <is>
          <t>계약규모(억원)</t>
        </is>
      </c>
      <c r="J2" s="2" t="inlineStr">
        <is>
          <t>원문(계약규모)</t>
        </is>
      </c>
    </row>
    <row r="3">
      <c r="A3" s="3" t="inlineStr">
        <is>
          <t>2026</t>
        </is>
      </c>
      <c r="B3" s="3" t="inlineStr">
        <is>
          <t>01월</t>
        </is>
      </c>
      <c r="C3" s="4" t="inlineStr">
        <is>
          <t>알테오젠</t>
        </is>
      </c>
      <c r="D3" s="4" t="inlineStr">
        <is>
          <t>테사로</t>
        </is>
      </c>
      <c r="E3" s="3" t="inlineStr">
        <is>
          <t>미국</t>
        </is>
      </c>
      <c r="F3" s="4" t="inlineStr">
        <is>
          <t>ALT-B4</t>
        </is>
      </c>
      <c r="G3" s="4" t="inlineStr">
        <is>
          <t>피하주사 제형 전환</t>
        </is>
      </c>
      <c r="H3" s="5" t="n">
        <v>28500</v>
      </c>
      <c r="I3" s="5" t="n">
        <v>4200</v>
      </c>
      <c r="J3" s="4" t="inlineStr">
        <is>
          <t>2억 8,500만 달러 / 4,200억원</t>
        </is>
      </c>
    </row>
    <row r="4">
      <c r="A4" s="3" t="inlineStr">
        <is>
          <t>2026</t>
        </is>
      </c>
      <c r="B4" s="3" t="inlineStr">
        <is>
          <t>03월</t>
        </is>
      </c>
      <c r="C4" s="4" t="inlineStr">
        <is>
          <t>SK플라즈마</t>
        </is>
      </c>
      <c r="D4" s="4" t="inlineStr">
        <is>
          <t>프로투루크</t>
        </is>
      </c>
      <c r="E4" s="3" t="inlineStr">
        <is>
          <t>튀르키예</t>
        </is>
      </c>
      <c r="F4" s="4" t="inlineStr">
        <is>
          <t>기술이전 및 라이선스</t>
        </is>
      </c>
      <c r="G4" s="4" t="inlineStr">
        <is>
          <t>튀르키예 현지 제조시설서 제품 생산할 수 있도록 라이선스 부여, R&amp;D 및 생산 관련 기술 이전</t>
        </is>
      </c>
      <c r="H4" s="5" t="n">
        <v>7567.63</v>
      </c>
      <c r="I4" s="5" t="n">
        <v>1100</v>
      </c>
      <c r="J4" s="4" t="inlineStr">
        <is>
          <t>6,500만 유로(7,567만 6,300달러) / 1,100억원(세후)</t>
        </is>
      </c>
    </row>
    <row r="5">
      <c r="A5" s="3" t="inlineStr">
        <is>
          <t>2026</t>
        </is>
      </c>
      <c r="B5" s="3" t="inlineStr">
        <is>
          <t>03월</t>
        </is>
      </c>
      <c r="C5" s="4" t="inlineStr">
        <is>
          <t>피알지에스앤텍</t>
        </is>
      </c>
      <c r="D5" s="4" t="inlineStr">
        <is>
          <t>센티넬테라퓨틱스</t>
        </is>
      </c>
      <c r="E5" s="3" t="inlineStr">
        <is>
          <t>미국</t>
        </is>
      </c>
      <c r="F5" s="4" t="inlineStr">
        <is>
          <t>프로제리닌</t>
        </is>
      </c>
      <c r="G5" s="4" t="inlineStr">
        <is>
          <t>소아조로증의 근본적인 분자 기전을 표적으로 하는 저분자 화합물 기반 신약 후보물질</t>
        </is>
      </c>
      <c r="H5" s="5" t="n"/>
      <c r="I5" s="5" t="n"/>
      <c r="J5" s="4" t="inlineStr">
        <is>
          <t>비공개</t>
        </is>
      </c>
    </row>
    <row r="6">
      <c r="A6" s="3" t="inlineStr">
        <is>
          <t>2026</t>
        </is>
      </c>
      <c r="B6" s="3" t="inlineStr">
        <is>
          <t>05월</t>
        </is>
      </c>
      <c r="C6" s="4" t="inlineStr">
        <is>
          <t>알테오젠</t>
        </is>
      </c>
      <c r="D6" s="4" t="inlineStr">
        <is>
          <t>바이오젠</t>
        </is>
      </c>
      <c r="E6" s="3" t="inlineStr">
        <is>
          <t>미국</t>
        </is>
      </c>
      <c r="F6" s="4" t="inlineStr">
        <is>
          <t>ALT-B4</t>
        </is>
      </c>
      <c r="G6" s="4" t="inlineStr">
        <is>
          <t>피하주사 제형 전환</t>
        </is>
      </c>
      <c r="H6" s="5" t="n">
        <v>57900</v>
      </c>
      <c r="I6" s="5" t="n">
        <v>8675</v>
      </c>
      <c r="J6" s="4" t="inlineStr">
        <is>
          <t>5억 7,900만 달러 / 8,675억원</t>
        </is>
      </c>
    </row>
    <row r="7">
      <c r="A7" s="3" t="inlineStr">
        <is>
          <t>2026</t>
        </is>
      </c>
      <c r="B7" s="3" t="inlineStr">
        <is>
          <t>05월</t>
        </is>
      </c>
      <c r="C7" s="4" t="inlineStr">
        <is>
          <t>큐라클·압타텍</t>
        </is>
      </c>
      <c r="D7" s="4" t="inlineStr">
        <is>
          <t>메멘토메디신</t>
        </is>
      </c>
      <c r="E7" s="3" t="inlineStr">
        <is>
          <t>미국</t>
        </is>
      </c>
      <c r="F7" s="4" t="inlineStr">
        <is>
          <t>MT-103</t>
        </is>
      </c>
      <c r="G7" s="4" t="inlineStr">
        <is>
          <t>망막질환 이중항체 후보물질</t>
        </is>
      </c>
      <c r="H7" s="5" t="n">
        <v>107775</v>
      </c>
      <c r="I7" s="5" t="n">
        <v>15636</v>
      </c>
      <c r="J7" s="4" t="inlineStr">
        <is>
          <t>10억 7,775만 달러 / 1조 5,636억원</t>
        </is>
      </c>
    </row>
    <row r="8">
      <c r="A8" s="3" t="inlineStr">
        <is>
          <t>2026</t>
        </is>
      </c>
      <c r="B8" s="3" t="inlineStr">
        <is>
          <t>05월</t>
        </is>
      </c>
      <c r="C8" s="4" t="inlineStr">
        <is>
          <t>아리바이오</t>
        </is>
      </c>
      <c r="D8" s="4" t="inlineStr">
        <is>
          <t>푸싱제약</t>
        </is>
      </c>
      <c r="E8" s="3" t="inlineStr">
        <is>
          <t>중국</t>
        </is>
      </c>
      <c r="F8" s="4" t="inlineStr">
        <is>
          <t>AR1001</t>
        </is>
      </c>
      <c r="G8" s="4" t="inlineStr">
        <is>
          <t>경구용 알츠하이머 치료제</t>
        </is>
      </c>
      <c r="H8" s="5" t="n">
        <v>470000</v>
      </c>
      <c r="I8" s="5" t="n">
        <v>70000</v>
      </c>
      <c r="J8" s="4" t="inlineStr">
        <is>
          <t>47억 달러 / 7조원</t>
        </is>
      </c>
    </row>
    <row r="9">
      <c r="A9" s="3" t="inlineStr">
        <is>
          <t>2026</t>
        </is>
      </c>
      <c r="B9" s="3" t="inlineStr">
        <is>
          <t>06월</t>
        </is>
      </c>
      <c r="C9" s="4" t="inlineStr">
        <is>
          <t>한미약품</t>
        </is>
      </c>
      <c r="D9" s="4" t="inlineStr">
        <is>
          <t>일라이릴리</t>
        </is>
      </c>
      <c r="E9" s="3" t="inlineStr">
        <is>
          <t>미국</t>
        </is>
      </c>
      <c r="F9" s="4" t="inlineStr">
        <is>
          <t>소네페글루타이드</t>
        </is>
      </c>
      <c r="G9" s="4" t="inlineStr">
        <is>
          <t>랩스커버리 기술 적용된 단장증후군 치료제 후보물질</t>
        </is>
      </c>
      <c r="H9" s="5" t="n">
        <v>126000</v>
      </c>
      <c r="I9" s="5" t="n">
        <v>18973</v>
      </c>
      <c r="J9" s="4" t="inlineStr">
        <is>
          <t>12억 6,000만 달러 / 1조 8,973억원</t>
        </is>
      </c>
    </row>
    <row r="10">
      <c r="A10" s="3" t="inlineStr">
        <is>
          <t>2026</t>
        </is>
      </c>
      <c r="B10" s="3" t="inlineStr">
        <is>
          <t>06월</t>
        </is>
      </c>
      <c r="C10" s="4" t="inlineStr">
        <is>
          <t>오스코텍</t>
        </is>
      </c>
      <c r="D10" s="4" t="inlineStr">
        <is>
          <t>야지오스파마슈티컬스</t>
        </is>
      </c>
      <c r="E10" s="3" t="inlineStr">
        <is>
          <t>미국</t>
        </is>
      </c>
      <c r="F10" s="4" t="inlineStr">
        <is>
          <t>세비도플렙</t>
        </is>
      </c>
      <c r="G10" s="4" t="inlineStr">
        <is>
          <t>SYK 선택적 억제제 경구형 저분자 합성신약 후보물질</t>
        </is>
      </c>
      <c r="H10" s="5" t="n">
        <v>66500</v>
      </c>
      <c r="I10" s="5" t="n">
        <v>10000</v>
      </c>
      <c r="J10" s="4" t="inlineStr">
        <is>
          <t>6억 6,500만 달러 / 1조원</t>
        </is>
      </c>
    </row>
    <row r="11">
      <c r="A11" s="6" t="inlineStr">
        <is>
          <t>합계</t>
        </is>
      </c>
      <c r="B11" s="7" t="n"/>
      <c r="C11" s="7" t="n"/>
      <c r="D11" s="7" t="n"/>
      <c r="E11" s="7" t="n"/>
      <c r="F11" s="7" t="n"/>
      <c r="G11" s="7" t="n"/>
      <c r="H11" s="8">
        <f>SUM(H3:H10)</f>
        <v/>
      </c>
      <c r="I11" s="8">
        <f>SUM(I3:I10)</f>
        <v/>
      </c>
      <c r="J11" s="7" t="n"/>
    </row>
    <row r="13">
      <c r="A13" s="9" t="inlineStr">
        <is>
          <t>※ 계약규모는 원문 표기를 단위 통일해 숫자만 입력(만 달러 / 억 원 기준). 비공개·미정 건은 빈칸이므로 합계에서 제외됨. 원문 표기는 우측 '원문(계약규모)' 열 참조.</t>
        </is>
      </c>
    </row>
    <row r="14">
      <c r="A14" s="9" t="inlineStr">
        <is>
          <t>※ 자료: THE BIO 보도 표. 환율·집계 시점 차이로 만달러 금액과 억원 금액이 정확히 비례하지 않는 건이 있음(원문 그대로 기재).</t>
        </is>
      </c>
    </row>
  </sheetData>
  <autoFilter ref="A2:J10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2026-08-20T06:26:13Z</dcterms:created>
  <dcterms:modified xsi:type="dcterms:W3CDTF">2026-08-20T06:26:13Z</dcterms:modified>
</cp:coreProperties>
</file>