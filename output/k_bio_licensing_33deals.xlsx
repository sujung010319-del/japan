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기술수출 33건" sheetId="1" state="visible" r:id="rId1"/>
  </sheets>
  <definedNames>
    <definedName name="_xlnm._FilterDatabase" localSheetId="0" hidden="1">'기술수출 33건'!$A$2:$I$35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4" fillId="3" borderId="1" pivotButton="0" quotePrefix="0" xfId="0"/>
    <xf numFmtId="164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34" customWidth="1" min="4" max="4"/>
    <col width="48" customWidth="1" min="5" max="5"/>
    <col width="16" customWidth="1" min="6" max="6"/>
    <col width="16" customWidth="1" min="7" max="7"/>
    <col width="26" customWidth="1" min="8" max="8"/>
    <col width="44" customWidth="1" min="9" max="9"/>
  </cols>
  <sheetData>
    <row r="1" ht="22" customHeight="1">
      <c r="A1" s="1" t="inlineStr">
        <is>
          <t>국내 제약바이오 기술수출 현황 (33건 / 원문 총액 13조 3,720억원, 비공개 제외)</t>
        </is>
      </c>
    </row>
    <row r="2" ht="30" customHeight="1">
      <c r="A2" s="2" t="inlineStr">
        <is>
          <t>번호</t>
        </is>
      </c>
      <c r="B2" s="2" t="inlineStr">
        <is>
          <t>일자</t>
        </is>
      </c>
      <c r="C2" s="2" t="inlineStr">
        <is>
          <t>개발사</t>
        </is>
      </c>
      <c r="D2" s="2" t="inlineStr">
        <is>
          <t>계약상대(국가)</t>
        </is>
      </c>
      <c r="E2" s="2" t="inlineStr">
        <is>
          <t>제품/적응증/기술</t>
        </is>
      </c>
      <c r="F2" s="2" t="inlineStr">
        <is>
          <t>계약규모(만달러)</t>
        </is>
      </c>
      <c r="G2" s="2" t="inlineStr">
        <is>
          <t>계약규모(억원)</t>
        </is>
      </c>
      <c r="H2" s="2" t="inlineStr">
        <is>
          <t>비고</t>
        </is>
      </c>
      <c r="I2" s="2" t="inlineStr">
        <is>
          <t>원문(계약규모)</t>
        </is>
      </c>
    </row>
    <row r="3">
      <c r="A3" s="3" t="n">
        <v>1</v>
      </c>
      <c r="B3" s="3" t="inlineStr">
        <is>
          <t>1. 7.</t>
        </is>
      </c>
      <c r="C3" s="4" t="inlineStr">
        <is>
          <t>알테오젠</t>
        </is>
      </c>
      <c r="D3" s="4" t="inlineStr">
        <is>
          <t>인타스 파마슈티컬스(인도)</t>
        </is>
      </c>
      <c r="E3" s="4" t="inlineStr">
        <is>
          <t>인간 히알루로니다제(ALT-B4)</t>
        </is>
      </c>
      <c r="F3" s="5" t="n"/>
      <c r="G3" s="5" t="n">
        <v>1250</v>
      </c>
      <c r="H3" s="4" t="inlineStr">
        <is>
          <t>달러 금액 미표기</t>
        </is>
      </c>
      <c r="I3" s="4" t="inlineStr">
        <is>
          <t>약 1,250억원</t>
        </is>
      </c>
    </row>
    <row r="4">
      <c r="A4" s="3" t="n">
        <v>2</v>
      </c>
      <c r="B4" s="3" t="inlineStr">
        <is>
          <t>1. 29.</t>
        </is>
      </c>
      <c r="C4" s="4" t="inlineStr">
        <is>
          <t>GC녹십자랩셀·아티바</t>
        </is>
      </c>
      <c r="D4" s="4" t="inlineStr">
        <is>
          <t>MSD(미국)</t>
        </is>
      </c>
      <c r="E4" s="4" t="inlineStr">
        <is>
          <t>고형암에 쓰는 CAR-NK 세포치료제 3종(공동개발)</t>
        </is>
      </c>
      <c r="F4" s="5" t="n">
        <v>186600</v>
      </c>
      <c r="G4" s="5" t="n">
        <v>20900</v>
      </c>
      <c r="H4" s="4" t="inlineStr"/>
      <c r="I4" s="4" t="inlineStr">
        <is>
          <t>약 2조 900억원 (약 18억 6,600만 달러)</t>
        </is>
      </c>
    </row>
    <row r="5">
      <c r="A5" s="3" t="n">
        <v>3</v>
      </c>
      <c r="B5" s="3" t="inlineStr">
        <is>
          <t>2. 18.</t>
        </is>
      </c>
      <c r="C5" s="4" t="inlineStr">
        <is>
          <t>제넥신</t>
        </is>
      </c>
      <c r="D5" s="4" t="inlineStr">
        <is>
          <t>KG바이오(인도네시아)</t>
        </is>
      </c>
      <c r="E5" s="4" t="inlineStr">
        <is>
          <t>GX-17(코로나19 치료제와 면역항암제로 개발 중)</t>
        </is>
      </c>
      <c r="F5" s="5" t="n">
        <v>110000</v>
      </c>
      <c r="G5" s="5" t="n">
        <v>12000</v>
      </c>
      <c r="H5" s="4" t="inlineStr"/>
      <c r="I5" s="4" t="inlineStr">
        <is>
          <t>약 1조 2,000억원 (약 11억 달러)</t>
        </is>
      </c>
    </row>
    <row r="6">
      <c r="A6" s="3" t="n">
        <v>4</v>
      </c>
      <c r="B6" s="3" t="inlineStr">
        <is>
          <t>3. 18.</t>
        </is>
      </c>
      <c r="C6" s="4" t="inlineStr">
        <is>
          <t>대웅제약</t>
        </is>
      </c>
      <c r="D6" s="4" t="inlineStr">
        <is>
          <t>상해하이니(중국)</t>
        </is>
      </c>
      <c r="E6" s="4" t="inlineStr">
        <is>
          <t>위식도역류질환 치료 신약 '펙수프라잔'</t>
        </is>
      </c>
      <c r="F6" s="5" t="n"/>
      <c r="G6" s="5" t="n">
        <v>3800</v>
      </c>
      <c r="H6" s="4" t="inlineStr">
        <is>
          <t>달러 금액 미표기</t>
        </is>
      </c>
      <c r="I6" s="4" t="inlineStr">
        <is>
          <t>약 3,800억원</t>
        </is>
      </c>
    </row>
    <row r="7">
      <c r="A7" s="3" t="n">
        <v>5</v>
      </c>
      <c r="B7" s="3" t="inlineStr">
        <is>
          <t>3. 31.</t>
        </is>
      </c>
      <c r="C7" s="4" t="inlineStr">
        <is>
          <t>이뮨온시아</t>
        </is>
      </c>
      <c r="D7" s="4" t="inlineStr">
        <is>
          <t>3D메디슨(중국)</t>
        </is>
      </c>
      <c r="E7" s="4" t="inlineStr">
        <is>
          <t>CD47 항체 항암신약후보 물질 'IMC-002'</t>
        </is>
      </c>
      <c r="F7" s="5" t="n">
        <v>47050</v>
      </c>
      <c r="G7" s="5" t="n">
        <v>5400</v>
      </c>
      <c r="H7" s="4" t="inlineStr"/>
      <c r="I7" s="4" t="inlineStr">
        <is>
          <t>약 5,400억원 (약 4억 7,050만 달러)</t>
        </is>
      </c>
    </row>
    <row r="8">
      <c r="A8" s="3" t="n">
        <v>6</v>
      </c>
      <c r="B8" s="3" t="inlineStr">
        <is>
          <t>3. 31.</t>
        </is>
      </c>
      <c r="C8" s="4" t="inlineStr">
        <is>
          <t>펩트론</t>
        </is>
      </c>
      <c r="D8" s="4" t="inlineStr">
        <is>
          <t>치루제약(중국)</t>
        </is>
      </c>
      <c r="E8" s="4" t="inlineStr">
        <is>
          <t>표적항암 항체치료제 / MUC1 타겟 암 치료용 항체 후보 약물-접합체(ADC) 'PAb001-ADC'</t>
        </is>
      </c>
      <c r="F8" s="5" t="n">
        <v>53900</v>
      </c>
      <c r="G8" s="5" t="n">
        <v>6340</v>
      </c>
      <c r="H8" s="4" t="inlineStr"/>
      <c r="I8" s="4" t="inlineStr">
        <is>
          <t>약 6,340억원 (약 5억 3,900만 달러)</t>
        </is>
      </c>
    </row>
    <row r="9">
      <c r="A9" s="3" t="n">
        <v>7</v>
      </c>
      <c r="B9" s="3" t="inlineStr">
        <is>
          <t>4. 28.</t>
        </is>
      </c>
      <c r="C9" s="4" t="inlineStr">
        <is>
          <t>LG화학</t>
        </is>
      </c>
      <c r="D9" s="4" t="inlineStr">
        <is>
          <t>트랜스테라 바이오사이언스(중국)</t>
        </is>
      </c>
      <c r="E9" s="4" t="inlineStr">
        <is>
          <t>자가면역질환 치료 후보물질 'LC510255'</t>
        </is>
      </c>
      <c r="F9" s="5" t="n"/>
      <c r="G9" s="5" t="n"/>
      <c r="H9" s="4" t="inlineStr"/>
      <c r="I9" s="4" t="inlineStr">
        <is>
          <t>비공개</t>
        </is>
      </c>
    </row>
    <row r="10">
      <c r="A10" s="3" t="n">
        <v>8</v>
      </c>
      <c r="B10" s="3" t="inlineStr">
        <is>
          <t>5. 10.</t>
        </is>
      </c>
      <c r="C10" s="4" t="inlineStr">
        <is>
          <t>한독·CMG제약</t>
        </is>
      </c>
      <c r="D10" s="4" t="inlineStr">
        <is>
          <t>AUM바이오사이언스(싱가포르)</t>
        </is>
      </c>
      <c r="E10" s="4" t="inlineStr">
        <is>
          <t>표적항암제 후보물질 CHC2014</t>
        </is>
      </c>
      <c r="F10" s="5" t="n">
        <v>17250</v>
      </c>
      <c r="G10" s="5" t="n">
        <v>1934</v>
      </c>
      <c r="H10" s="4" t="inlineStr"/>
      <c r="I10" s="4" t="inlineStr">
        <is>
          <t>약 1,934억원 (약 1억 7,250만 달러)</t>
        </is>
      </c>
    </row>
    <row r="11">
      <c r="A11" s="3" t="n">
        <v>9</v>
      </c>
      <c r="B11" s="3" t="inlineStr">
        <is>
          <t>6. 8.</t>
        </is>
      </c>
      <c r="C11" s="4" t="inlineStr">
        <is>
          <t>대웅제약</t>
        </is>
      </c>
      <c r="D11" s="4" t="inlineStr">
        <is>
          <t>뉴로가스트릭스(미국)</t>
        </is>
      </c>
      <c r="E11" s="4" t="inlineStr">
        <is>
          <t>'펙수프라잔' 위식도역류질환 치료제</t>
        </is>
      </c>
      <c r="F11" s="5" t="n">
        <v>43000</v>
      </c>
      <c r="G11" s="5" t="n">
        <v>4800</v>
      </c>
      <c r="H11" s="4" t="inlineStr"/>
      <c r="I11" s="4" t="inlineStr">
        <is>
          <t>약 4,800억원 (약 4억 3,000만 달러)</t>
        </is>
      </c>
    </row>
    <row r="12">
      <c r="A12" s="3" t="n">
        <v>10</v>
      </c>
      <c r="B12" s="3" t="inlineStr">
        <is>
          <t>6. 8.</t>
        </is>
      </c>
      <c r="C12" s="4" t="inlineStr">
        <is>
          <t>팬젠</t>
        </is>
      </c>
      <c r="D12" s="4" t="inlineStr">
        <is>
          <t>VEM(터키)</t>
        </is>
      </c>
      <c r="E12" s="4" t="inlineStr">
        <is>
          <t>빈혈치료제 바이오시밀러 생산기술</t>
        </is>
      </c>
      <c r="F12" s="5" t="n">
        <v>300</v>
      </c>
      <c r="G12" s="5" t="n">
        <v>33.4</v>
      </c>
      <c r="H12" s="4" t="inlineStr"/>
      <c r="I12" s="4" t="inlineStr">
        <is>
          <t>약 33억 4,000만원 (약 300만 달러)</t>
        </is>
      </c>
    </row>
    <row r="13">
      <c r="A13" s="3" t="n">
        <v>11</v>
      </c>
      <c r="B13" s="3" t="inlineStr">
        <is>
          <t>6. 18.</t>
        </is>
      </c>
      <c r="C13" s="4" t="inlineStr">
        <is>
          <t>레고켐바이오</t>
        </is>
      </c>
      <c r="D13" s="4" t="inlineStr">
        <is>
          <t>익수다테라퓨틱스(영국)</t>
        </is>
      </c>
      <c r="E13" s="4" t="inlineStr">
        <is>
          <t>항체약물접합체 플랫폼기술</t>
        </is>
      </c>
      <c r="F13" s="5" t="n"/>
      <c r="G13" s="5" t="n">
        <v>4237</v>
      </c>
      <c r="H13" s="4" t="inlineStr">
        <is>
          <t>달러 금액 미표기</t>
        </is>
      </c>
      <c r="I13" s="4" t="inlineStr">
        <is>
          <t>4,237억원</t>
        </is>
      </c>
    </row>
    <row r="14">
      <c r="A14" s="3" t="n">
        <v>12</v>
      </c>
      <c r="B14" s="3" t="inlineStr">
        <is>
          <t>6. 24.</t>
        </is>
      </c>
      <c r="C14" s="4" t="inlineStr">
        <is>
          <t>대웅제약</t>
        </is>
      </c>
      <c r="D14" s="4" t="inlineStr">
        <is>
          <t>중남미 4개국</t>
        </is>
      </c>
      <c r="E14" s="4" t="inlineStr">
        <is>
          <t>위식도역류질환 치료제 '펙수프라잔(Fexuprazan)'</t>
        </is>
      </c>
      <c r="F14" s="5" t="n"/>
      <c r="G14" s="5" t="n">
        <v>340</v>
      </c>
      <c r="H14" s="4" t="inlineStr">
        <is>
          <t>달러 금액 미표기</t>
        </is>
      </c>
      <c r="I14" s="4" t="inlineStr">
        <is>
          <t>약 340억원</t>
        </is>
      </c>
    </row>
    <row r="15">
      <c r="A15" s="3" t="n">
        <v>13</v>
      </c>
      <c r="B15" s="3" t="inlineStr">
        <is>
          <t>6. 28.</t>
        </is>
      </c>
      <c r="C15" s="4" t="inlineStr">
        <is>
          <t>HK이노엔</t>
        </is>
      </c>
      <c r="D15" s="4" t="inlineStr">
        <is>
          <t>뤄신(중국)</t>
        </is>
      </c>
      <c r="E15" s="4" t="inlineStr">
        <is>
          <t>'케이캡' 위식도 역류질환 치료주사</t>
        </is>
      </c>
      <c r="F15" s="5" t="n"/>
      <c r="G15" s="5" t="n"/>
      <c r="H15" s="4" t="inlineStr"/>
      <c r="I15" s="4" t="inlineStr">
        <is>
          <t>비공개</t>
        </is>
      </c>
    </row>
    <row r="16">
      <c r="A16" s="3" t="n">
        <v>14</v>
      </c>
      <c r="B16" s="3" t="inlineStr">
        <is>
          <t>6. 28.</t>
        </is>
      </c>
      <c r="C16" s="4" t="inlineStr">
        <is>
          <t>툴젠</t>
        </is>
      </c>
      <c r="D16" s="4" t="inlineStr">
        <is>
          <t>카세릭스(호주)</t>
        </is>
      </c>
      <c r="E16" s="4" t="inlineStr">
        <is>
          <t>CAR-T 치료제</t>
        </is>
      </c>
      <c r="F16" s="5" t="n"/>
      <c r="G16" s="5" t="n">
        <v>1500</v>
      </c>
      <c r="H16" s="4" t="inlineStr">
        <is>
          <t>달러 금액 미표기</t>
        </is>
      </c>
      <c r="I16" s="4" t="inlineStr">
        <is>
          <t>약 1,500억원</t>
        </is>
      </c>
    </row>
    <row r="17">
      <c r="A17" s="3" t="n">
        <v>15</v>
      </c>
      <c r="B17" s="3" t="inlineStr">
        <is>
          <t>7. 6.</t>
        </is>
      </c>
      <c r="C17" s="4" t="inlineStr">
        <is>
          <t>와이바이오로직스</t>
        </is>
      </c>
      <c r="D17" s="4" t="inlineStr">
        <is>
          <t>피에르파브르(프랑스)</t>
        </is>
      </c>
      <c r="E17" s="4" t="inlineStr">
        <is>
          <t>고형암 치료를 위한 신규 항체 후보물질</t>
        </is>
      </c>
      <c r="F17" s="5" t="n"/>
      <c r="G17" s="5" t="n">
        <v>1164</v>
      </c>
      <c r="H17" s="4" t="inlineStr">
        <is>
          <t>달러 금액 미표기</t>
        </is>
      </c>
      <c r="I17" s="4" t="inlineStr">
        <is>
          <t>약 1,164억원</t>
        </is>
      </c>
    </row>
    <row r="18">
      <c r="A18" s="3" t="n">
        <v>16</v>
      </c>
      <c r="B18" s="3" t="inlineStr">
        <is>
          <t>7. 20.</t>
        </is>
      </c>
      <c r="C18" s="4" t="inlineStr">
        <is>
          <t>동아에스티</t>
        </is>
      </c>
      <c r="D18" s="4" t="inlineStr">
        <is>
          <t>인타스(다국적제약사)</t>
        </is>
      </c>
      <c r="E18" s="4" t="inlineStr">
        <is>
          <t>스텔라라 바이오시밀러 'DMB-3115'의 글로벌 라이선스 아웃 계약</t>
        </is>
      </c>
      <c r="F18" s="5" t="n">
        <v>10500</v>
      </c>
      <c r="G18" s="5" t="n">
        <v>1200</v>
      </c>
      <c r="H18" s="4" t="inlineStr"/>
      <c r="I18" s="4" t="inlineStr">
        <is>
          <t>약 1,200억원 (총 1억 500만 달러)</t>
        </is>
      </c>
    </row>
    <row r="19">
      <c r="A19" s="3" t="n">
        <v>17</v>
      </c>
      <c r="B19" s="3" t="inlineStr">
        <is>
          <t>8. 21.</t>
        </is>
      </c>
      <c r="C19" s="4" t="inlineStr">
        <is>
          <t>동아에스티</t>
        </is>
      </c>
      <c r="D19" s="4" t="inlineStr">
        <is>
          <t>양쯔강약업그룹(중국)</t>
        </is>
      </c>
      <c r="E19" s="4" t="inlineStr">
        <is>
          <t>DA-7310(요로감염증)</t>
        </is>
      </c>
      <c r="F19" s="5" t="n"/>
      <c r="G19" s="5" t="n"/>
      <c r="H19" s="4" t="inlineStr"/>
      <c r="I19" s="4" t="inlineStr">
        <is>
          <t>비공개</t>
        </is>
      </c>
    </row>
    <row r="20">
      <c r="A20" s="3" t="n">
        <v>18</v>
      </c>
      <c r="B20" s="3" t="inlineStr">
        <is>
          <t>8. 30.</t>
        </is>
      </c>
      <c r="C20" s="4" t="inlineStr">
        <is>
          <t>바이오팜솔루션즈</t>
        </is>
      </c>
      <c r="D20" s="4" t="inlineStr">
        <is>
          <t>경신제약(중국)</t>
        </is>
      </c>
      <c r="E20" s="4" t="inlineStr">
        <is>
          <t>소아연축·뇌전증 치료물질 계약</t>
        </is>
      </c>
      <c r="F20" s="5" t="n">
        <v>4000</v>
      </c>
      <c r="G20" s="5" t="n">
        <v>468</v>
      </c>
      <c r="H20" s="4" t="inlineStr"/>
      <c r="I20" s="4" t="inlineStr">
        <is>
          <t>468억원 (약 4,000만 달러)</t>
        </is>
      </c>
    </row>
    <row r="21">
      <c r="A21" s="3" t="n">
        <v>19</v>
      </c>
      <c r="B21" s="3" t="inlineStr">
        <is>
          <t>9. 2.</t>
        </is>
      </c>
      <c r="C21" s="4" t="inlineStr">
        <is>
          <t>보로노이</t>
        </is>
      </c>
      <c r="D21" s="4" t="inlineStr">
        <is>
          <t>브리켈바이오텍(미국)</t>
        </is>
      </c>
      <c r="E21" s="4" t="inlineStr">
        <is>
          <t>자가면역질환 치료제 프로그램</t>
        </is>
      </c>
      <c r="F21" s="5" t="n">
        <v>32350</v>
      </c>
      <c r="G21" s="5" t="n">
        <v>3800</v>
      </c>
      <c r="H21" s="4" t="inlineStr"/>
      <c r="I21" s="4" t="inlineStr">
        <is>
          <t>약 3,800억원 (3억 2,350만 달러)</t>
        </is>
      </c>
    </row>
    <row r="22">
      <c r="A22" s="3" t="n">
        <v>20</v>
      </c>
      <c r="B22" s="3" t="inlineStr">
        <is>
          <t>9. 27.</t>
        </is>
      </c>
      <c r="C22" s="4" t="inlineStr">
        <is>
          <t>디앤디파마텍</t>
        </is>
      </c>
      <c r="D22" s="4" t="inlineStr">
        <is>
          <t>선전 살루브리스 제약(중국)</t>
        </is>
      </c>
      <c r="E22" s="4" t="inlineStr">
        <is>
          <t>대사성질환 치료제 DD01</t>
        </is>
      </c>
      <c r="F22" s="5" t="n">
        <v>400</v>
      </c>
      <c r="G22" s="5" t="n">
        <v>47</v>
      </c>
      <c r="H22" s="4" t="inlineStr">
        <is>
          <t>총 계약규모 비공개, 계약금만 공개</t>
        </is>
      </c>
      <c r="I22" s="4" t="inlineStr">
        <is>
          <t>비공개 / 계약금 약 47억원 (약 400만 달러)</t>
        </is>
      </c>
    </row>
    <row r="23">
      <c r="A23" s="3" t="n">
        <v>21</v>
      </c>
      <c r="B23" s="3" t="inlineStr">
        <is>
          <t>10. 12.</t>
        </is>
      </c>
      <c r="C23" s="4" t="inlineStr">
        <is>
          <t>올릭스</t>
        </is>
      </c>
      <c r="D23" s="4" t="inlineStr">
        <is>
          <t>한소제약(중국)</t>
        </is>
      </c>
      <c r="E23" s="4" t="inlineStr">
        <is>
          <t>GalNAc-asiRNA 기반 기술 관련 신약후보물질 2종</t>
        </is>
      </c>
      <c r="F23" s="5" t="n">
        <v>45100</v>
      </c>
      <c r="G23" s="5" t="n">
        <v>5368</v>
      </c>
      <c r="H23" s="4" t="inlineStr"/>
      <c r="I23" s="4" t="inlineStr">
        <is>
          <t>5,368억원 (약 4억 5,100만 달러)</t>
        </is>
      </c>
    </row>
    <row r="24">
      <c r="A24" s="3" t="n">
        <v>22</v>
      </c>
      <c r="B24" s="3" t="inlineStr">
        <is>
          <t>10. 14.</t>
        </is>
      </c>
      <c r="C24" s="4" t="inlineStr">
        <is>
          <t>에이프릴바이오</t>
        </is>
      </c>
      <c r="D24" s="4" t="inlineStr">
        <is>
          <t>룬드벡(덴마크)</t>
        </is>
      </c>
      <c r="E24" s="4" t="inlineStr">
        <is>
          <t>자가면역 질환 치료 후보물질 APB-A1</t>
        </is>
      </c>
      <c r="F24" s="5" t="n">
        <v>44800</v>
      </c>
      <c r="G24" s="5" t="n">
        <v>5370</v>
      </c>
      <c r="H24" s="4" t="inlineStr"/>
      <c r="I24" s="4" t="inlineStr">
        <is>
          <t>약 5,370억원 (4억 4,800만 달러)</t>
        </is>
      </c>
    </row>
    <row r="25">
      <c r="A25" s="3" t="n">
        <v>23</v>
      </c>
      <c r="B25" s="3" t="inlineStr">
        <is>
          <t>10. 15.</t>
        </is>
      </c>
      <c r="C25" s="4" t="inlineStr">
        <is>
          <t>대웅제약</t>
        </is>
      </c>
      <c r="D25" s="4" t="inlineStr">
        <is>
          <t>아그라스(아랍에미리트) 등 중동 6개국(사우디아라비아·아랍에미리트·쿠웨이트·바레인·오만·카타르)</t>
        </is>
      </c>
      <c r="E25" s="4" t="inlineStr">
        <is>
          <t>위식도역류질환 치료 신약 '펙수프라잔' 라이선스아웃(기술수출)</t>
        </is>
      </c>
      <c r="F25" s="5" t="n">
        <v>8466</v>
      </c>
      <c r="G25" s="5" t="n">
        <v>991</v>
      </c>
      <c r="H25" s="4" t="inlineStr"/>
      <c r="I25" s="4" t="inlineStr">
        <is>
          <t>약 991억원 (약 8,466만 달러)</t>
        </is>
      </c>
    </row>
    <row r="26">
      <c r="A26" s="3" t="n">
        <v>24</v>
      </c>
      <c r="B26" s="3" t="inlineStr">
        <is>
          <t>10. 27.</t>
        </is>
      </c>
      <c r="C26" s="4" t="inlineStr">
        <is>
          <t>큐라클</t>
        </is>
      </c>
      <c r="D26" s="4" t="inlineStr">
        <is>
          <t>테아오픈이노베이션(프랑스)</t>
        </is>
      </c>
      <c r="E26" s="4" t="inlineStr">
        <is>
          <t>당뇨병성 황반부종 및 습성 황반변성 치료제 'CU06-RE'</t>
        </is>
      </c>
      <c r="F26" s="5" t="n">
        <v>16350</v>
      </c>
      <c r="G26" s="5" t="n">
        <v>1906.9005</v>
      </c>
      <c r="H26" s="4" t="inlineStr"/>
      <c r="I26" s="4" t="inlineStr">
        <is>
          <t>약 1,906억 9,005만원 (1억 6,350만 달러)</t>
        </is>
      </c>
    </row>
    <row r="27">
      <c r="A27" s="3" t="n">
        <v>25</v>
      </c>
      <c r="B27" s="3" t="inlineStr">
        <is>
          <t>10. 28.</t>
        </is>
      </c>
      <c r="C27" s="4" t="inlineStr">
        <is>
          <t>고바이오랩</t>
        </is>
      </c>
      <c r="D27" s="4" t="inlineStr">
        <is>
          <t>상해의약그룹 자회사 신이(중국)</t>
        </is>
      </c>
      <c r="E27" s="4" t="inlineStr">
        <is>
          <t>면역질환 치료 소재 KBL697와 KBL693</t>
        </is>
      </c>
      <c r="F27" s="5" t="n">
        <v>11000</v>
      </c>
      <c r="G27" s="5" t="n">
        <v>1200</v>
      </c>
      <c r="H27" s="4" t="inlineStr"/>
      <c r="I27" s="4" t="inlineStr">
        <is>
          <t>약 1,200억원 (1억 1,000만 달러)</t>
        </is>
      </c>
    </row>
    <row r="28">
      <c r="A28" s="3" t="n">
        <v>26</v>
      </c>
      <c r="B28" s="3" t="inlineStr">
        <is>
          <t>11. 4.</t>
        </is>
      </c>
      <c r="C28" s="4" t="inlineStr">
        <is>
          <t>한미약품</t>
        </is>
      </c>
      <c r="D28" s="4" t="inlineStr">
        <is>
          <t>앱토즈 바이오사이언스(캐나다)</t>
        </is>
      </c>
      <c r="E28" s="4" t="inlineStr">
        <is>
          <t>급성골수성 백혈병(AML) 치료 신약 'HM43239'</t>
        </is>
      </c>
      <c r="F28" s="5" t="n">
        <v>42000</v>
      </c>
      <c r="G28" s="5" t="n">
        <v>4961</v>
      </c>
      <c r="H28" s="4" t="inlineStr"/>
      <c r="I28" s="4" t="inlineStr">
        <is>
          <t>약 4,961억원 (4억 2,000만 달러)</t>
        </is>
      </c>
    </row>
    <row r="29">
      <c r="A29" s="3" t="n">
        <v>27</v>
      </c>
      <c r="B29" s="3" t="inlineStr">
        <is>
          <t>11. 11.</t>
        </is>
      </c>
      <c r="C29" s="4" t="inlineStr">
        <is>
          <t>SK바이오팜</t>
        </is>
      </c>
      <c r="D29" s="4" t="inlineStr">
        <is>
          <t>이그니스테라퓨틱스(중국)</t>
        </is>
      </c>
      <c r="E29" s="4" t="inlineStr">
        <is>
          <t>세노바메이트 등 6개 CNS 신약</t>
        </is>
      </c>
      <c r="F29" s="5" t="n">
        <v>18500</v>
      </c>
      <c r="G29" s="5" t="n">
        <v>2180</v>
      </c>
      <c r="H29" s="4" t="inlineStr">
        <is>
          <t>지분 형태</t>
        </is>
      </c>
      <c r="I29" s="4" t="inlineStr">
        <is>
          <t>약 2,180억원(지분) (1억 8,500만 달러)</t>
        </is>
      </c>
    </row>
    <row r="30">
      <c r="A30" s="3" t="n">
        <v>28</v>
      </c>
      <c r="B30" s="3" t="inlineStr">
        <is>
          <t>11. 17.</t>
        </is>
      </c>
      <c r="C30" s="4" t="inlineStr">
        <is>
          <t>보로노이</t>
        </is>
      </c>
      <c r="D30" s="4" t="inlineStr">
        <is>
          <t>피라미드바이오사이언스(미국)</t>
        </is>
      </c>
      <c r="E30" s="4" t="inlineStr">
        <is>
          <t>MPS1 타겟 고형암치료제(VRN08)</t>
        </is>
      </c>
      <c r="F30" s="5" t="n">
        <v>84600</v>
      </c>
      <c r="G30" s="5" t="n">
        <v>10000</v>
      </c>
      <c r="H30" s="4" t="inlineStr"/>
      <c r="I30" s="4" t="inlineStr">
        <is>
          <t>약 1조원 (8억 4,600만 달러)</t>
        </is>
      </c>
    </row>
    <row r="31">
      <c r="A31" s="3" t="n">
        <v>29</v>
      </c>
      <c r="B31" s="3" t="inlineStr">
        <is>
          <t>11. 17.</t>
        </is>
      </c>
      <c r="C31" s="4" t="inlineStr">
        <is>
          <t>레고켐바이오</t>
        </is>
      </c>
      <c r="D31" s="4" t="inlineStr">
        <is>
          <t>소티오바이오텍(체코)</t>
        </is>
      </c>
      <c r="E31" s="4" t="inlineStr">
        <is>
          <t>항체약물접합체(ADC) 플랫폼 기술</t>
        </is>
      </c>
      <c r="F31" s="5" t="n">
        <v>102750</v>
      </c>
      <c r="G31" s="5" t="n">
        <v>12127</v>
      </c>
      <c r="H31" s="4" t="inlineStr"/>
      <c r="I31" s="4" t="inlineStr">
        <is>
          <t>약 1조 2,127억원 (10억 2,750만 달러)</t>
        </is>
      </c>
    </row>
    <row r="32">
      <c r="A32" s="3" t="n">
        <v>30</v>
      </c>
      <c r="B32" s="3" t="inlineStr">
        <is>
          <t>12. 23.</t>
        </is>
      </c>
      <c r="C32" s="4" t="inlineStr">
        <is>
          <t>SK바이오팜</t>
        </is>
      </c>
      <c r="D32" s="4" t="inlineStr">
        <is>
          <t>엔도그룹(아일랜드)</t>
        </is>
      </c>
      <c r="E32" s="4" t="inlineStr">
        <is>
          <t>세노바메이트</t>
        </is>
      </c>
      <c r="F32" s="5" t="n">
        <v>4100</v>
      </c>
      <c r="G32" s="5" t="n">
        <v>433.0465</v>
      </c>
      <c r="H32" s="4" t="inlineStr"/>
      <c r="I32" s="4" t="inlineStr">
        <is>
          <t>433억 465만원 / 4,100만 달러</t>
        </is>
      </c>
    </row>
    <row r="33">
      <c r="A33" s="3" t="n">
        <v>31</v>
      </c>
      <c r="B33" s="3" t="inlineStr">
        <is>
          <t>12. 23.</t>
        </is>
      </c>
      <c r="C33" s="4" t="inlineStr">
        <is>
          <t>HK이노엔</t>
        </is>
      </c>
      <c r="D33" s="4" t="inlineStr">
        <is>
          <t>브레인트리 래보라토리스(미국)</t>
        </is>
      </c>
      <c r="E33" s="4" t="inlineStr">
        <is>
          <t>케이캡(테고프라잔)</t>
        </is>
      </c>
      <c r="F33" s="5" t="n">
        <v>54000</v>
      </c>
      <c r="G33" s="5" t="n">
        <v>6400</v>
      </c>
      <c r="H33" s="4" t="inlineStr"/>
      <c r="I33" s="4" t="inlineStr">
        <is>
          <t>6,400억원 / 5억 4,000만 달러</t>
        </is>
      </c>
    </row>
    <row r="34">
      <c r="A34" s="3" t="n">
        <v>32</v>
      </c>
      <c r="B34" s="3" t="inlineStr">
        <is>
          <t>12. 27.</t>
        </is>
      </c>
      <c r="C34" s="4" t="inlineStr">
        <is>
          <t>레고켐바이오사이언스</t>
        </is>
      </c>
      <c r="D34" s="4" t="inlineStr">
        <is>
          <t>익수다테라퓨틱스(영국)</t>
        </is>
      </c>
      <c r="E34" s="4" t="inlineStr">
        <is>
          <t>표적유방암치료제 LCB14(HER2-ADC)</t>
        </is>
      </c>
      <c r="F34" s="5" t="n">
        <v>100000</v>
      </c>
      <c r="G34" s="5" t="n">
        <v>11864</v>
      </c>
      <c r="H34" s="4" t="inlineStr"/>
      <c r="I34" s="4" t="inlineStr">
        <is>
          <t>1조 1,864억원 / 10억 달러</t>
        </is>
      </c>
    </row>
    <row r="35">
      <c r="A35" s="3" t="n">
        <v>33</v>
      </c>
      <c r="B35" s="3" t="inlineStr">
        <is>
          <t>12. 31.</t>
        </is>
      </c>
      <c r="C35" s="4" t="inlineStr">
        <is>
          <t>한미약품</t>
        </is>
      </c>
      <c r="D35" s="4" t="inlineStr">
        <is>
          <t>에퍼메드 테라퓨틱스(중국)</t>
        </is>
      </c>
      <c r="E35" s="4" t="inlineStr">
        <is>
          <t>안과분야 신약 루미네이트(리수테가닙)</t>
        </is>
      </c>
      <c r="F35" s="5" t="n">
        <v>14500</v>
      </c>
      <c r="G35" s="5" t="n">
        <v>1719</v>
      </c>
      <c r="H35" s="4" t="inlineStr"/>
      <c r="I35" s="4" t="inlineStr">
        <is>
          <t>약 1,719억원 / 1억 4,500만 달러</t>
        </is>
      </c>
    </row>
    <row r="36">
      <c r="A36" s="6" t="inlineStr">
        <is>
          <t>합계</t>
        </is>
      </c>
      <c r="B36" s="6">
        <f>COUNTA(C3:C35)&amp;"건"</f>
        <v/>
      </c>
      <c r="C36" s="7" t="n"/>
      <c r="D36" s="7" t="n"/>
      <c r="E36" s="7" t="n"/>
      <c r="F36" s="8">
        <f>SUM(F3:F35)</f>
        <v/>
      </c>
      <c r="G36" s="8">
        <f>SUM(G3:G35)</f>
        <v/>
      </c>
      <c r="H36" s="9" t="inlineStr">
        <is>
          <t>비공개 건 제외 합계</t>
        </is>
      </c>
      <c r="I36" s="7" t="n"/>
    </row>
    <row r="38">
      <c r="A38" s="10" t="inlineStr">
        <is>
          <t>※ 계약규모는 원문 표기를 단위 통일해 숫자만 입력(만 달러 / 억 원 기준). 비공개 건은 빈칸이므로 합계에서 제외됨. 원문 표기는 우측 '원문(계약규모)' 열 참조.</t>
        </is>
      </c>
    </row>
    <row r="39">
      <c r="A39" s="10" t="inlineStr">
        <is>
          <t>※ 원문 표에는 달러 금액이 없는 건이 있어 '계약규모(만달러)' 합계 건수는 '계약규모(억원)' 합계 건수보다 적음.</t>
        </is>
      </c>
    </row>
    <row r="40">
      <c r="A40" s="10" t="inlineStr">
        <is>
          <t>※ 원문 표기 총액은 13조 3,720억원. 본 시트의 억원 합계는 원문 각 행을 반올림 없이 더한 값이라 약 13억원(0.01%) 차이가 남.</t>
        </is>
      </c>
    </row>
    <row r="41">
      <c r="A41" s="10" t="inlineStr">
        <is>
          <t>※ 원문 표에 연도 표기가 없음(일자 1. 7. ~ 12. 31. 1년치).</t>
        </is>
      </c>
    </row>
  </sheetData>
  <autoFilter ref="A2:I35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2026-08-20T07:38:29Z</dcterms:created>
  <dcterms:modified xsi:type="dcterms:W3CDTF">2026-08-20T07:38:29Z</dcterms:modified>
</cp:coreProperties>
</file>